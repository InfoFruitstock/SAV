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GIT Live\SAV\"/>
    </mc:Choice>
  </mc:AlternateContent>
  <xr:revisionPtr revIDLastSave="0" documentId="13_ncr:1_{5236D9A4-346F-42C6-9778-45127DD23B18}" xr6:coauthVersionLast="45" xr6:coauthVersionMax="45" xr10:uidLastSave="{00000000-0000-0000-0000-000000000000}"/>
  <bookViews>
    <workbookView xWindow="-120" yWindow="-120" windowWidth="29040" windowHeight="15990" xr2:uid="{B44FA9F1-17E1-4511-9003-0930391FF828}"/>
  </bookViews>
  <sheets>
    <sheet name="BBD" sheetId="1" r:id="rId1"/>
    <sheet name="Config" sheetId="5" r:id="rId2"/>
    <sheet name="SAV" sheetId="14" r:id="rId3"/>
    <sheet name="SAV TRANSPORT" sheetId="11" r:id="rId4"/>
    <sheet name="ARTICLES" sheetId="9" r:id="rId5"/>
    <sheet name="ADHERENTS" sheetId="18" r:id="rId6"/>
    <sheet name="FACTURE" sheetId="13" r:id="rId7"/>
    <sheet name="SAV_ADMIN" sheetId="20" r:id="rId8"/>
    <sheet name="BON_SAV" sheetId="17" r:id="rId9"/>
    <sheet name="RUFINO" sheetId="3" r:id="rId10"/>
    <sheet name="ARNOLD" sheetId="10" state="hidden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_dynaique">OFFSET(BBD!$P$2,,,COUNTIF(BBD!$P:$P,"?*")-1)</definedName>
    <definedName name="designations">BBD!$B$2:$B$468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BON_SAV!$C$1:$K$17</definedName>
    <definedName name="_xlnm.Print_Area" localSheetId="2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7" i="1" l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O202" i="1" s="1"/>
  <c r="M203" i="1"/>
  <c r="N203" i="1"/>
  <c r="O203" i="1" s="1"/>
  <c r="M204" i="1"/>
  <c r="N204" i="1"/>
  <c r="O204" i="1" s="1"/>
  <c r="M205" i="1"/>
  <c r="N205" i="1"/>
  <c r="O205" i="1" s="1"/>
  <c r="M206" i="1"/>
  <c r="N206" i="1"/>
  <c r="O206" i="1" s="1"/>
  <c r="M207" i="1"/>
  <c r="N207" i="1"/>
  <c r="O207" i="1" s="1"/>
  <c r="M208" i="1"/>
  <c r="N208" i="1"/>
  <c r="O208" i="1" s="1"/>
  <c r="M209" i="1"/>
  <c r="N209" i="1"/>
  <c r="O209" i="1" s="1"/>
  <c r="M210" i="1"/>
  <c r="N210" i="1"/>
  <c r="O210" i="1" s="1"/>
  <c r="M211" i="1"/>
  <c r="N211" i="1"/>
  <c r="O211" i="1" s="1"/>
  <c r="M212" i="1"/>
  <c r="N212" i="1"/>
  <c r="O212" i="1" s="1"/>
  <c r="M213" i="1"/>
  <c r="N213" i="1"/>
  <c r="O213" i="1" s="1"/>
  <c r="M214" i="1"/>
  <c r="N214" i="1"/>
  <c r="O214" i="1" s="1"/>
  <c r="M215" i="1"/>
  <c r="N215" i="1"/>
  <c r="O215" i="1" s="1"/>
  <c r="M216" i="1"/>
  <c r="N216" i="1"/>
  <c r="O216" i="1" s="1"/>
  <c r="M217" i="1"/>
  <c r="N217" i="1"/>
  <c r="O217" i="1" s="1"/>
  <c r="M218" i="1"/>
  <c r="N218" i="1"/>
  <c r="O218" i="1" s="1"/>
  <c r="M219" i="1"/>
  <c r="N219" i="1"/>
  <c r="O219" i="1" s="1"/>
  <c r="M220" i="1"/>
  <c r="N220" i="1"/>
  <c r="O220" i="1" s="1"/>
  <c r="M221" i="1"/>
  <c r="N221" i="1"/>
  <c r="O221" i="1" s="1"/>
  <c r="M222" i="1"/>
  <c r="N222" i="1"/>
  <c r="O222" i="1" s="1"/>
  <c r="M223" i="1"/>
  <c r="N223" i="1"/>
  <c r="O223" i="1" s="1"/>
  <c r="M224" i="1"/>
  <c r="N224" i="1"/>
  <c r="O224" i="1" s="1"/>
  <c r="M225" i="1"/>
  <c r="N225" i="1"/>
  <c r="O225" i="1" s="1"/>
  <c r="M226" i="1"/>
  <c r="N226" i="1"/>
  <c r="O226" i="1" s="1"/>
  <c r="M227" i="1"/>
  <c r="N227" i="1"/>
  <c r="O227" i="1" s="1"/>
  <c r="M228" i="1"/>
  <c r="N228" i="1"/>
  <c r="O228" i="1" s="1"/>
  <c r="M229" i="1"/>
  <c r="N229" i="1"/>
  <c r="O229" i="1" s="1"/>
  <c r="M230" i="1"/>
  <c r="N230" i="1"/>
  <c r="O230" i="1" s="1"/>
  <c r="M231" i="1"/>
  <c r="N231" i="1"/>
  <c r="O231" i="1" s="1"/>
  <c r="M232" i="1"/>
  <c r="N232" i="1"/>
  <c r="O232" i="1" s="1"/>
  <c r="M233" i="1"/>
  <c r="N233" i="1"/>
  <c r="O233" i="1" s="1"/>
  <c r="M234" i="1"/>
  <c r="N234" i="1"/>
  <c r="O234" i="1" s="1"/>
  <c r="M235" i="1"/>
  <c r="N235" i="1"/>
  <c r="O235" i="1" s="1"/>
  <c r="M236" i="1"/>
  <c r="N236" i="1"/>
  <c r="O236" i="1" s="1"/>
  <c r="M237" i="1"/>
  <c r="N237" i="1"/>
  <c r="O237" i="1" s="1"/>
  <c r="M238" i="1"/>
  <c r="N238" i="1"/>
  <c r="O238" i="1" s="1"/>
  <c r="M239" i="1"/>
  <c r="N239" i="1"/>
  <c r="O239" i="1"/>
  <c r="M240" i="1"/>
  <c r="N240" i="1"/>
  <c r="O240" i="1" s="1"/>
  <c r="M241" i="1"/>
  <c r="N241" i="1"/>
  <c r="O241" i="1" s="1"/>
  <c r="M242" i="1"/>
  <c r="N242" i="1"/>
  <c r="O242" i="1" s="1"/>
  <c r="M243" i="1"/>
  <c r="N243" i="1"/>
  <c r="O243" i="1" s="1"/>
  <c r="M244" i="1"/>
  <c r="N244" i="1"/>
  <c r="O244" i="1" s="1"/>
  <c r="M245" i="1"/>
  <c r="N245" i="1"/>
  <c r="O245" i="1" s="1"/>
  <c r="M246" i="1"/>
  <c r="N246" i="1"/>
  <c r="O246" i="1" s="1"/>
  <c r="M247" i="1"/>
  <c r="N247" i="1"/>
  <c r="O247" i="1"/>
  <c r="M248" i="1"/>
  <c r="N248" i="1"/>
  <c r="O248" i="1" s="1"/>
  <c r="M249" i="1"/>
  <c r="N249" i="1"/>
  <c r="O249" i="1" s="1"/>
  <c r="M250" i="1"/>
  <c r="N250" i="1"/>
  <c r="O250" i="1" s="1"/>
  <c r="M251" i="1"/>
  <c r="N251" i="1"/>
  <c r="O251" i="1" s="1"/>
  <c r="M252" i="1"/>
  <c r="N252" i="1"/>
  <c r="O252" i="1" s="1"/>
  <c r="M253" i="1"/>
  <c r="N253" i="1"/>
  <c r="O253" i="1" s="1"/>
  <c r="M254" i="1"/>
  <c r="N254" i="1"/>
  <c r="O254" i="1" s="1"/>
  <c r="M255" i="1"/>
  <c r="N255" i="1"/>
  <c r="O255" i="1"/>
  <c r="M256" i="1"/>
  <c r="N256" i="1"/>
  <c r="O256" i="1" s="1"/>
  <c r="M257" i="1"/>
  <c r="N257" i="1"/>
  <c r="O257" i="1" s="1"/>
  <c r="M258" i="1"/>
  <c r="N258" i="1"/>
  <c r="O258" i="1" s="1"/>
  <c r="M259" i="1"/>
  <c r="N259" i="1"/>
  <c r="O259" i="1" s="1"/>
  <c r="M260" i="1"/>
  <c r="N260" i="1"/>
  <c r="O260" i="1" s="1"/>
  <c r="M261" i="1"/>
  <c r="N261" i="1"/>
  <c r="O261" i="1" s="1"/>
  <c r="M262" i="1"/>
  <c r="N262" i="1"/>
  <c r="O262" i="1" s="1"/>
  <c r="M263" i="1"/>
  <c r="N263" i="1"/>
  <c r="O263" i="1"/>
  <c r="M264" i="1"/>
  <c r="N264" i="1"/>
  <c r="O264" i="1" s="1"/>
  <c r="M265" i="1"/>
  <c r="N265" i="1"/>
  <c r="O265" i="1" s="1"/>
  <c r="M266" i="1"/>
  <c r="N266" i="1"/>
  <c r="O266" i="1" s="1"/>
  <c r="M267" i="1"/>
  <c r="N267" i="1"/>
  <c r="O267" i="1" s="1"/>
  <c r="M268" i="1"/>
  <c r="N268" i="1"/>
  <c r="O268" i="1" s="1"/>
  <c r="M269" i="1"/>
  <c r="N269" i="1"/>
  <c r="O269" i="1" s="1"/>
  <c r="M270" i="1"/>
  <c r="N270" i="1"/>
  <c r="O270" i="1" s="1"/>
  <c r="M271" i="1"/>
  <c r="N271" i="1"/>
  <c r="O271" i="1"/>
  <c r="M272" i="1"/>
  <c r="N272" i="1"/>
  <c r="O272" i="1" s="1"/>
  <c r="M273" i="1"/>
  <c r="N273" i="1"/>
  <c r="O273" i="1" s="1"/>
  <c r="M274" i="1"/>
  <c r="N274" i="1"/>
  <c r="O274" i="1" s="1"/>
  <c r="M275" i="1"/>
  <c r="N275" i="1"/>
  <c r="O275" i="1" s="1"/>
  <c r="M276" i="1"/>
  <c r="N276" i="1"/>
  <c r="O276" i="1" s="1"/>
  <c r="M277" i="1"/>
  <c r="N277" i="1"/>
  <c r="O277" i="1" s="1"/>
  <c r="M278" i="1"/>
  <c r="N278" i="1"/>
  <c r="O278" i="1" s="1"/>
  <c r="M279" i="1"/>
  <c r="N279" i="1"/>
  <c r="O279" i="1"/>
  <c r="M280" i="1"/>
  <c r="N280" i="1"/>
  <c r="O280" i="1" s="1"/>
  <c r="M281" i="1"/>
  <c r="N281" i="1"/>
  <c r="O281" i="1" s="1"/>
  <c r="M282" i="1"/>
  <c r="N282" i="1"/>
  <c r="O282" i="1" s="1"/>
  <c r="M283" i="1"/>
  <c r="N283" i="1"/>
  <c r="O283" i="1" s="1"/>
  <c r="M284" i="1"/>
  <c r="N284" i="1"/>
  <c r="O284" i="1" s="1"/>
  <c r="M285" i="1"/>
  <c r="N285" i="1"/>
  <c r="O285" i="1" s="1"/>
  <c r="M286" i="1"/>
  <c r="N286" i="1"/>
  <c r="O286" i="1" s="1"/>
  <c r="M287" i="1"/>
  <c r="N287" i="1"/>
  <c r="O287" i="1"/>
  <c r="M288" i="1"/>
  <c r="N288" i="1"/>
  <c r="O288" i="1" s="1"/>
  <c r="M289" i="1"/>
  <c r="N289" i="1"/>
  <c r="O289" i="1" s="1"/>
  <c r="M290" i="1"/>
  <c r="N290" i="1"/>
  <c r="O290" i="1" s="1"/>
  <c r="M291" i="1"/>
  <c r="N291" i="1"/>
  <c r="O291" i="1" s="1"/>
  <c r="M292" i="1"/>
  <c r="N292" i="1"/>
  <c r="O292" i="1" s="1"/>
  <c r="M293" i="1"/>
  <c r="N293" i="1"/>
  <c r="O293" i="1" s="1"/>
  <c r="M294" i="1"/>
  <c r="N294" i="1"/>
  <c r="O294" i="1" s="1"/>
  <c r="M295" i="1"/>
  <c r="N295" i="1"/>
  <c r="O295" i="1"/>
  <c r="M296" i="1"/>
  <c r="N296" i="1"/>
  <c r="O296" i="1" s="1"/>
  <c r="M297" i="1"/>
  <c r="N297" i="1"/>
  <c r="O297" i="1" s="1"/>
  <c r="M298" i="1"/>
  <c r="N298" i="1"/>
  <c r="O298" i="1" s="1"/>
  <c r="M299" i="1"/>
  <c r="N299" i="1"/>
  <c r="O299" i="1" s="1"/>
  <c r="M300" i="1"/>
  <c r="N300" i="1"/>
  <c r="O300" i="1" s="1"/>
  <c r="M3" i="1"/>
  <c r="N3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O146" i="1" s="1"/>
  <c r="M2" i="1"/>
  <c r="N2" i="1"/>
  <c r="O2" i="1" s="1"/>
  <c r="O197" i="1" l="1"/>
  <c r="O193" i="1"/>
  <c r="O189" i="1"/>
  <c r="O185" i="1"/>
  <c r="O181" i="1"/>
  <c r="O177" i="1"/>
  <c r="O173" i="1"/>
  <c r="O169" i="1"/>
  <c r="O165" i="1"/>
  <c r="O161" i="1"/>
  <c r="O157" i="1"/>
  <c r="O153" i="1"/>
  <c r="O149" i="1"/>
  <c r="O201" i="1"/>
  <c r="O198" i="1"/>
  <c r="O194" i="1"/>
  <c r="O190" i="1"/>
  <c r="O186" i="1"/>
  <c r="O182" i="1"/>
  <c r="O178" i="1"/>
  <c r="O174" i="1"/>
  <c r="O170" i="1"/>
  <c r="O166" i="1"/>
  <c r="O162" i="1"/>
  <c r="O158" i="1"/>
  <c r="O154" i="1"/>
  <c r="O150" i="1"/>
  <c r="O199" i="1"/>
  <c r="O195" i="1"/>
  <c r="O191" i="1"/>
  <c r="O187" i="1"/>
  <c r="O183" i="1"/>
  <c r="O179" i="1"/>
  <c r="O175" i="1"/>
  <c r="O171" i="1"/>
  <c r="O167" i="1"/>
  <c r="O163" i="1"/>
  <c r="O159" i="1"/>
  <c r="O155" i="1"/>
  <c r="O151" i="1"/>
  <c r="O147" i="1"/>
  <c r="O200" i="1"/>
  <c r="O196" i="1"/>
  <c r="O192" i="1"/>
  <c r="O188" i="1"/>
  <c r="O184" i="1"/>
  <c r="O180" i="1"/>
  <c r="O176" i="1"/>
  <c r="O172" i="1"/>
  <c r="O168" i="1"/>
  <c r="O164" i="1"/>
  <c r="O160" i="1"/>
  <c r="O156" i="1"/>
  <c r="O152" i="1"/>
  <c r="O148" i="1"/>
  <c r="O132" i="1"/>
  <c r="O130" i="1"/>
  <c r="O77" i="1"/>
  <c r="O61" i="1"/>
  <c r="O45" i="1"/>
  <c r="O29" i="1"/>
  <c r="O13" i="1"/>
  <c r="O133" i="1"/>
  <c r="O73" i="1"/>
  <c r="O57" i="1"/>
  <c r="O41" i="1"/>
  <c r="O25" i="1"/>
  <c r="O9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85" i="1"/>
  <c r="O69" i="1"/>
  <c r="O53" i="1"/>
  <c r="O37" i="1"/>
  <c r="O21" i="1"/>
  <c r="O5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1" i="1"/>
  <c r="O81" i="1"/>
  <c r="O65" i="1"/>
  <c r="O49" i="1"/>
  <c r="O33" i="1"/>
  <c r="O17" i="1"/>
  <c r="O86" i="1"/>
  <c r="O82" i="1"/>
  <c r="O78" i="1"/>
  <c r="O74" i="1"/>
  <c r="O70" i="1"/>
  <c r="O66" i="1"/>
  <c r="O62" i="1"/>
  <c r="O58" i="1"/>
  <c r="O54" i="1"/>
  <c r="O50" i="1"/>
  <c r="O46" i="1"/>
  <c r="O42" i="1"/>
  <c r="O38" i="1"/>
  <c r="O34" i="1"/>
  <c r="O30" i="1"/>
  <c r="O26" i="1"/>
  <c r="O22" i="1"/>
  <c r="O18" i="1"/>
  <c r="O14" i="1"/>
  <c r="O10" i="1"/>
  <c r="O6" i="1"/>
  <c r="O87" i="1"/>
  <c r="O83" i="1"/>
  <c r="O79" i="1"/>
  <c r="O75" i="1"/>
  <c r="O71" i="1"/>
  <c r="O67" i="1"/>
  <c r="O63" i="1"/>
  <c r="O59" i="1"/>
  <c r="O55" i="1"/>
  <c r="O51" i="1"/>
  <c r="O47" i="1"/>
  <c r="O43" i="1"/>
  <c r="O39" i="1"/>
  <c r="O35" i="1"/>
  <c r="O31" i="1"/>
  <c r="O27" i="1"/>
  <c r="O23" i="1"/>
  <c r="O19" i="1"/>
  <c r="O15" i="1"/>
  <c r="O11" i="1"/>
  <c r="O7" i="1"/>
  <c r="O3" i="1"/>
  <c r="O84" i="1"/>
  <c r="O80" i="1"/>
  <c r="O76" i="1"/>
  <c r="O72" i="1"/>
  <c r="O68" i="1"/>
  <c r="O64" i="1"/>
  <c r="O60" i="1"/>
  <c r="O56" i="1"/>
  <c r="O52" i="1"/>
  <c r="O48" i="1"/>
  <c r="O44" i="1"/>
  <c r="O40" i="1"/>
  <c r="O36" i="1"/>
  <c r="O32" i="1"/>
  <c r="O28" i="1"/>
  <c r="O24" i="1"/>
  <c r="O20" i="1"/>
  <c r="O16" i="1"/>
  <c r="O12" i="1"/>
  <c r="O8" i="1"/>
  <c r="O4" i="1"/>
  <c r="P297" i="1" l="1"/>
  <c r="P215" i="1"/>
  <c r="P205" i="1"/>
  <c r="P148" i="1"/>
  <c r="P164" i="1"/>
  <c r="P180" i="1"/>
  <c r="P196" i="1"/>
  <c r="P224" i="1"/>
  <c r="P159" i="1"/>
  <c r="P175" i="1"/>
  <c r="P191" i="1"/>
  <c r="P231" i="1"/>
  <c r="P255" i="1"/>
  <c r="P157" i="1"/>
  <c r="P165" i="1"/>
  <c r="P173" i="1"/>
  <c r="P181" i="1"/>
  <c r="P189" i="1"/>
  <c r="P197" i="1"/>
  <c r="P209" i="1"/>
  <c r="P225" i="1"/>
  <c r="P212" i="1"/>
  <c r="P228" i="1"/>
  <c r="P203" i="1"/>
  <c r="P219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292" i="1"/>
  <c r="P296" i="1"/>
  <c r="P300" i="1"/>
  <c r="P221" i="1"/>
  <c r="P156" i="1"/>
  <c r="P172" i="1"/>
  <c r="P188" i="1"/>
  <c r="P208" i="1"/>
  <c r="P151" i="1"/>
  <c r="P167" i="1"/>
  <c r="P183" i="1"/>
  <c r="P199" i="1"/>
  <c r="P235" i="1"/>
  <c r="P239" i="1"/>
  <c r="P243" i="1"/>
  <c r="P247" i="1"/>
  <c r="P251" i="1"/>
  <c r="P259" i="1"/>
  <c r="P263" i="1"/>
  <c r="P267" i="1"/>
  <c r="P271" i="1"/>
  <c r="P275" i="1"/>
  <c r="P279" i="1"/>
  <c r="P283" i="1"/>
  <c r="P287" i="1"/>
  <c r="P291" i="1"/>
  <c r="P295" i="1"/>
  <c r="P299" i="1"/>
  <c r="P213" i="1"/>
  <c r="P229" i="1"/>
  <c r="P152" i="1"/>
  <c r="P160" i="1"/>
  <c r="P168" i="1"/>
  <c r="P176" i="1"/>
  <c r="P184" i="1"/>
  <c r="P192" i="1"/>
  <c r="P200" i="1"/>
  <c r="P216" i="1"/>
  <c r="P147" i="1"/>
  <c r="P155" i="1"/>
  <c r="P163" i="1"/>
  <c r="P171" i="1"/>
  <c r="P179" i="1"/>
  <c r="P187" i="1"/>
  <c r="P195" i="1"/>
  <c r="P207" i="1"/>
  <c r="P223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166" i="1"/>
  <c r="P178" i="1"/>
  <c r="P190" i="1"/>
  <c r="P194" i="1"/>
  <c r="P206" i="1"/>
  <c r="P222" i="1"/>
  <c r="P226" i="1"/>
  <c r="P154" i="1"/>
  <c r="P158" i="1"/>
  <c r="P162" i="1"/>
  <c r="P174" i="1"/>
  <c r="P202" i="1"/>
  <c r="P210" i="1"/>
  <c r="P214" i="1"/>
  <c r="P218" i="1"/>
  <c r="P230" i="1"/>
  <c r="P150" i="1"/>
  <c r="P170" i="1"/>
  <c r="P182" i="1"/>
  <c r="P186" i="1"/>
  <c r="P198" i="1"/>
  <c r="P153" i="1"/>
  <c r="P161" i="1"/>
  <c r="P169" i="1"/>
  <c r="P177" i="1"/>
  <c r="P185" i="1"/>
  <c r="P193" i="1"/>
  <c r="P201" i="1"/>
  <c r="P217" i="1"/>
  <c r="P204" i="1"/>
  <c r="P220" i="1"/>
  <c r="P211" i="1"/>
  <c r="P227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149" i="1"/>
  <c r="P2" i="1"/>
  <c r="P38" i="1"/>
  <c r="P14" i="1"/>
  <c r="P3" i="1"/>
  <c r="P126" i="1"/>
  <c r="P114" i="1"/>
  <c r="P102" i="1"/>
  <c r="P98" i="1"/>
  <c r="P90" i="1"/>
  <c r="P67" i="1"/>
  <c r="P35" i="1"/>
  <c r="P72" i="1"/>
  <c r="P24" i="1"/>
  <c r="P77" i="1"/>
  <c r="P45" i="1"/>
  <c r="P13" i="1"/>
  <c r="P137" i="1"/>
  <c r="P70" i="1"/>
  <c r="P133" i="1"/>
  <c r="P129" i="1"/>
  <c r="P125" i="1"/>
  <c r="P121" i="1"/>
  <c r="P117" i="1"/>
  <c r="P113" i="1"/>
  <c r="P109" i="1"/>
  <c r="P105" i="1"/>
  <c r="P101" i="1"/>
  <c r="P97" i="1"/>
  <c r="P93" i="1"/>
  <c r="P89" i="1"/>
  <c r="P79" i="1"/>
  <c r="P63" i="1"/>
  <c r="P47" i="1"/>
  <c r="P31" i="1"/>
  <c r="P15" i="1"/>
  <c r="P84" i="1"/>
  <c r="P68" i="1"/>
  <c r="P52" i="1"/>
  <c r="P36" i="1"/>
  <c r="P20" i="1"/>
  <c r="P4" i="1"/>
  <c r="P73" i="1"/>
  <c r="P57" i="1"/>
  <c r="P41" i="1"/>
  <c r="P25" i="1"/>
  <c r="P9" i="1"/>
  <c r="P30" i="1"/>
  <c r="P62" i="1"/>
  <c r="P134" i="1"/>
  <c r="P138" i="1"/>
  <c r="P142" i="1"/>
  <c r="P146" i="1"/>
  <c r="P66" i="1"/>
  <c r="P26" i="1"/>
  <c r="P130" i="1"/>
  <c r="P118" i="1"/>
  <c r="P106" i="1"/>
  <c r="P94" i="1"/>
  <c r="P83" i="1"/>
  <c r="P51" i="1"/>
  <c r="P19" i="1"/>
  <c r="P40" i="1"/>
  <c r="P145" i="1"/>
  <c r="P50" i="1"/>
  <c r="P6" i="1"/>
  <c r="P10" i="1"/>
  <c r="P42" i="1"/>
  <c r="P74" i="1"/>
  <c r="P132" i="1"/>
  <c r="P128" i="1"/>
  <c r="P124" i="1"/>
  <c r="P120" i="1"/>
  <c r="P116" i="1"/>
  <c r="P112" i="1"/>
  <c r="P108" i="1"/>
  <c r="P104" i="1"/>
  <c r="P100" i="1"/>
  <c r="P96" i="1"/>
  <c r="P92" i="1"/>
  <c r="P88" i="1"/>
  <c r="P75" i="1"/>
  <c r="P59" i="1"/>
  <c r="P43" i="1"/>
  <c r="P27" i="1"/>
  <c r="P11" i="1"/>
  <c r="P80" i="1"/>
  <c r="P64" i="1"/>
  <c r="P48" i="1"/>
  <c r="P32" i="1"/>
  <c r="P16" i="1"/>
  <c r="P85" i="1"/>
  <c r="P69" i="1"/>
  <c r="P53" i="1"/>
  <c r="P37" i="1"/>
  <c r="P21" i="1"/>
  <c r="P5" i="1"/>
  <c r="P135" i="1"/>
  <c r="P139" i="1"/>
  <c r="P143" i="1"/>
  <c r="P18" i="1"/>
  <c r="P82" i="1"/>
  <c r="P58" i="1"/>
  <c r="P122" i="1"/>
  <c r="P110" i="1"/>
  <c r="P56" i="1"/>
  <c r="P8" i="1"/>
  <c r="P61" i="1"/>
  <c r="P29" i="1"/>
  <c r="P141" i="1"/>
  <c r="P22" i="1"/>
  <c r="P54" i="1"/>
  <c r="P86" i="1"/>
  <c r="P131" i="1"/>
  <c r="P127" i="1"/>
  <c r="P123" i="1"/>
  <c r="P119" i="1"/>
  <c r="P115" i="1"/>
  <c r="P111" i="1"/>
  <c r="P107" i="1"/>
  <c r="P103" i="1"/>
  <c r="P99" i="1"/>
  <c r="P95" i="1"/>
  <c r="P91" i="1"/>
  <c r="P87" i="1"/>
  <c r="P71" i="1"/>
  <c r="P55" i="1"/>
  <c r="P39" i="1"/>
  <c r="P23" i="1"/>
  <c r="P7" i="1"/>
  <c r="P76" i="1"/>
  <c r="P60" i="1"/>
  <c r="P44" i="1"/>
  <c r="P28" i="1"/>
  <c r="P12" i="1"/>
  <c r="P81" i="1"/>
  <c r="P65" i="1"/>
  <c r="P49" i="1"/>
  <c r="P33" i="1"/>
  <c r="P17" i="1"/>
  <c r="P46" i="1"/>
  <c r="P78" i="1"/>
  <c r="P136" i="1"/>
  <c r="P140" i="1"/>
  <c r="P144" i="1"/>
  <c r="P34" i="1"/>
  <c r="C17" i="14" l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<sst xmlns="http://schemas.openxmlformats.org/spreadsheetml/2006/main" count="281" uniqueCount="149">
  <si>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</si>
  <si>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</si>
  <si>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</si>
  <si>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</si>
  <si>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</si>
  <si>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</si>
  <si>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</si>
  <si>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</si>
  <si>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</si>
  <si>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</si>
  <si>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</si>
  <si>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</si>
  <si>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</si>
  <si>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</si>
  <si>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</si>
  <si>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</si>
  <si>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</si>
  <si>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</si>
  <si>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</si>
  <si>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</si>
  <si>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</si>
  <si>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</si>
  <si>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</si>
  <si>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</si>
  <si>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</si>
  <si>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</si>
  <si>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</si>
  <si>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</si>
  <si>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</si>
  <si>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</si>
  <si>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</si>
  <si>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</si>
  <si>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</si>
  <si>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</si>
  <si>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</si>
  <si>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</si>
  <si>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</si>
  <si>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</si>
  <si>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</si>
  <si>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</si>
  <si>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</si>
  <si>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</si>
  <si>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</si>
  <si>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</si>
  <si>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</si>
  <si>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</si>
  <si>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</si>
  <si>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</si>
  <si>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</si>
  <si>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</si>
  <si>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</si>
  <si>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</si>
  <si>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</si>
  <si>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</si>
  <si>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</si>
  <si>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</si>
  <si>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</si>
  <si>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</si>
  <si>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</si>
  <si>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</si>
  <si>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</si>
  <si>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</si>
  <si>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</si>
  <si>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</si>
  <si>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</si>
  <si>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</si>
  <si>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</si>
  <si>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</si>
  <si>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</si>
  <si>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</si>
  <si>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</si>
  <si>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</si>
  <si>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</si>
  <si>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</si>
  <si>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</si>
  <si>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</si>
  <si>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</si>
  <si>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</si>
  <si>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</si>
  <si>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</si>
  <si>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</si>
  <si>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</si>
  <si>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</si>
  <si>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</si>
  <si>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</si>
  <si>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</si>
  <si>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</si>
  <si>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</si>
  <si>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</si>
  <si>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</si>
  <si>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</si>
  <si>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</si>
  <si>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</si>
  <si>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</si>
  <si>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</si>
  <si>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</si>
  <si>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</si>
  <si>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</si>
  <si>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</si>
  <si>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</si>
  <si>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</si>
  <si>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</si>
  <si>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</si>
  <si>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</si>
  <si>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</si>
  <si>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</si>
  <si>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</si>
  <si>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</si>
  <si>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</si>
  <si>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</si>
  <si>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</si>
  <si>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</si>
  <si>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</si>
  <si>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</si>
  <si>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</si>
  <si>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</si>
  <si>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</si>
  <si>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</si>
  <si>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</si>
  <si>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</si>
  <si>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</si>
  <si>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</si>
  <si>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</si>
  <si>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</si>
  <si>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</si>
  <si>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</si>
  <si>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</si>
  <si>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</si>
  <si>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</si>
  <si>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</si>
  <si>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</si>
  <si>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</si>
  <si>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</si>
  <si>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</si>
  <si>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</si>
  <si>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</si>
  <si>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</si>
  <si>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Autre</t>
  </si>
  <si>
    <t>Otro</t>
  </si>
  <si>
    <t>FDP Facturé</t>
  </si>
  <si>
    <t>Chemin du fichier</t>
  </si>
  <si>
    <t>Prix facturé</t>
  </si>
  <si>
    <t>Montant</t>
  </si>
  <si>
    <t>A REMPLIR</t>
  </si>
  <si>
    <t>Precio</t>
  </si>
  <si>
    <t>Récup Code</t>
  </si>
  <si>
    <t>Chercher la lettre</t>
  </si>
  <si>
    <t>Fréquence</t>
  </si>
  <si>
    <t>Afficher la valeur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</si>
</sst>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40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27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7" fontId="37" fillId="0" borderId="0" xfId="4" applyNumberFormat="1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/>
    </xf>
    <xf numFmtId="44" fontId="0" fillId="0" borderId="4" xfId="4" applyFont="1" applyBorder="1" applyAlignment="1">
      <alignment horizontal="center" vertical="center"/>
    </xf>
    <xf numFmtId="44" fontId="0" fillId="0" borderId="0" xfId="4" applyFont="1" applyBorder="1"/>
    <xf numFmtId="44" fontId="0" fillId="0" borderId="0" xfId="4" applyFont="1"/>
    <xf numFmtId="44" fontId="0" fillId="0" borderId="0" xfId="4" applyNumberFormat="1" applyFont="1" applyBorder="1"/>
    <xf numFmtId="0" fontId="0" fillId="0" borderId="0" xfId="0" applyAlignment="1">
      <alignment wrapText="1"/>
    </xf>
    <xf numFmtId="0" fontId="39" fillId="16" borderId="0" xfId="0" applyFont="1" applyFill="1" applyAlignment="1">
      <alignment horizontal="center"/>
    </xf>
    <xf numFmtId="44" fontId="0" fillId="0" borderId="0" xfId="4" applyNumberFormat="1" applyFont="1"/>
    <xf numFmtId="0" fontId="0" fillId="0" borderId="0" xfId="0" applyNumberFormat="1" applyAlignment="1">
      <alignment wrapText="1"/>
    </xf>
    <xf numFmtId="0" fontId="0" fillId="0" borderId="0" xfId="0" applyNumberFormat="1" applyAlignment="1"/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1" fillId="17" borderId="0" xfId="0" applyFont="1" applyFill="1" applyAlignment="1">
      <alignment horizontal="center" vertical="center" wrapText="1"/>
    </xf>
    <xf numFmtId="9" fontId="1" fillId="17" borderId="0" xfId="0" applyNumberFormat="1" applyFont="1" applyFill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 wrapText="1"/>
    </xf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33" fillId="13" borderId="0" xfId="0" applyFont="1" applyFill="1" applyAlignment="1">
      <alignment horizontal="center"/>
    </xf>
    <xf numFmtId="0" fontId="0" fillId="15" borderId="20" xfId="0" applyFill="1" applyBorder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" fillId="0" borderId="0" xfId="0" applyNumberFormat="1" applyFont="1" applyAlignment="1">
      <alignment horizontal="center" vertical="center" wrapText="1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73">
    <dxf>
      <fill>
        <patternFill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2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2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0</xdr:row>
          <xdr:rowOff>47625</xdr:rowOff>
        </xdr:from>
        <xdr:to>
          <xdr:col>14</xdr:col>
          <xdr:colOff>9525</xdr:colOff>
          <xdr:row>3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4</xdr:row>
          <xdr:rowOff>171450</xdr:rowOff>
        </xdr:from>
        <xdr:to>
          <xdr:col>15</xdr:col>
          <xdr:colOff>542925</xdr:colOff>
          <xdr:row>8</xdr:row>
          <xdr:rowOff>9525</xdr:rowOff>
        </xdr:to>
        <xdr:sp macro="" textlink="">
          <xdr:nvSpPr>
            <xdr:cNvPr id="13318" name="CommandButton3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4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571500</xdr:colOff>
          <xdr:row>1</xdr:row>
          <xdr:rowOff>85725</xdr:rowOff>
        </xdr:from>
        <xdr:to>
          <xdr:col>17</xdr:col>
          <xdr:colOff>561975</xdr:colOff>
          <xdr:row>3</xdr:row>
          <xdr:rowOff>142875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7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276225</xdr:colOff>
          <xdr:row>2</xdr:row>
          <xdr:rowOff>123825</xdr:rowOff>
        </xdr:from>
        <xdr:to>
          <xdr:col>16</xdr:col>
          <xdr:colOff>247650</xdr:colOff>
          <xdr:row>7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295275</xdr:colOff>
          <xdr:row>9</xdr:row>
          <xdr:rowOff>142875</xdr:rowOff>
        </xdr:from>
        <xdr:to>
          <xdr:col>16</xdr:col>
          <xdr:colOff>285750</xdr:colOff>
          <xdr:row>14</xdr:row>
          <xdr:rowOff>180975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5.6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P300" totalsRowShown="0" headerRowDxfId="18" dataDxfId="17">
  <autoFilter ref="A1:P300" xr:uid="{04F752C0-C5F6-4240-B6DE-5A26C456D59D}"/>
  <sortState xmlns:xlrd2="http://schemas.microsoft.com/office/spreadsheetml/2017/richdata2" ref="A2:L2">
    <sortCondition ref="B1:B2"/>
  </sortState>
  <tableColumns count="16">
    <tableColumn id="1" xr3:uid="{929E70A4-3DC2-476E-BAF0-384BB4C08B8F}" name="CODE" dataDxfId="16"/>
    <tableColumn id="2" xr3:uid="{79C0F8F2-19F7-4FE3-8EF4-0EA164562E4F}" name="DESIGNATION" dataDxfId="15"/>
    <tableColumn id="3" xr3:uid="{791634A2-A0AF-4C3F-A30A-825BCA8B339C}" name="ORIGINE" dataDxfId="14"/>
    <tableColumn id="4" xr3:uid="{304AF527-86D2-4CF7-98BC-C88204C4110A}" name="PRODUCTO" dataDxfId="13"/>
    <tableColumn id="5" xr3:uid="{D3266655-BA91-4F92-9912-3D4DDF5DEB4F}" name="ORIGEN" dataDxfId="12"/>
    <tableColumn id="14" xr3:uid="{6030AB86-FDB6-4B71-A0F4-FE59C5B62485}" name="INFO" dataDxfId="11"/>
    <tableColumn id="6" xr3:uid="{0E5C1DEA-0939-4792-8B37-94866D0EAF30}" name="PRIX_x000a_(sans FDP)" dataDxfId="10"/>
    <tableColumn id="9" xr3:uid="{F9860875-4235-4962-AAE7-EB970D38F5DB}" name="UNITÉ" dataDxfId="9" dataCellStyle="Euro"/>
    <tableColumn id="10" xr3:uid="{85F486C1-0597-4DC9-8C11-4CE768E772CC}" name="10kg" dataDxfId="8"/>
    <tableColumn id="11" xr3:uid="{C11198F1-154B-4D84-AFAB-E94505E7C5DF}" name="30kg" dataDxfId="7"/>
    <tableColumn id="16" xr3:uid="{3E113CA0-D6EC-49B5-86B0-58BF3577B0C7}" name="60kg" dataDxfId="6"/>
    <tableColumn id="7" xr3:uid="{16A23538-3B7E-47BF-9AD3-C220896082A8}" name="5kg_x000a_Min" dataDxfId="5"/>
    <tableColumn id="8" xr3:uid="{213E28D3-3081-4A9B-AABA-ADED369F93B7}" name="Récup Code" dataDxfId="4">
      <calculatedColumnFormula>Tableau3[[#This Row],[CODE]]</calculatedColumnFormula>
    </tableColumn>
    <tableColumn id="12" xr3:uid="{35F28852-6B93-42F0-81B7-618400F5D9B2}" name="Chercher la lettre" dataDxfId="1">
      <calculatedColumnFormula>IFERROR(SEARCH(SAV!$M$6,B2),0)</calculatedColumnFormula>
    </tableColumn>
    <tableColumn id="13" xr3:uid="{4339EBFD-F2E0-4C5A-849D-AAB5C56A9B17}" name="Fréquence" dataDxfId="3">
      <calculatedColumnFormula>IF(N2=0,"",COUNTIF($N$2:N300,1))</calculatedColumnFormula>
    </tableColumn>
    <tableColumn id="15" xr3:uid="{A3155F22-B275-4A22-9461-190F7D807FCF}" name="Afficher la valeur" dataDxfId="2">
      <calculatedColumnFormula>IFERROR(INDEX(B:B,MATCH(ROW(O1),O:O,0)),"")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72" dataDxfId="71" tableBorderDxfId="70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69"/>
    <tableColumn id="13" xr3:uid="{2E881B10-CDCF-4241-A3A4-ABC917F942FA}" name="Id" dataDxfId="68">
      <calculatedColumnFormula>CELL("ligne",C17)</calculatedColumnFormula>
    </tableColumn>
    <tableColumn id="2" xr3:uid="{71E84DFA-5F71-48D5-B5AE-CE8ED299EB24}" name="Code" dataDxfId="67"/>
    <tableColumn id="3" xr3:uid="{13613131-9551-4328-90BE-188E619E38C5}" name="Designation" dataDxfId="66"/>
    <tableColumn id="4" xr3:uid="{2CF57491-650F-430B-8CA4-B05F799A0782}" name="Qté" dataDxfId="65"/>
    <tableColumn id="5" xr3:uid="{BBF0133A-C9D4-4CD4-98FB-6F0D2CAE6E6B}" name="Unité" dataDxfId="64"/>
    <tableColumn id="6" xr3:uid="{F4A947C4-89D8-4398-A083-3F05CFA31F7A}" name="Cause" dataDxfId="63"/>
    <tableColumn id="7" xr3:uid="{A35DD11A-DC3E-4B49-B861-959CFE871259}" name="Commentaires" dataDxfId="62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J3" insertRow="1" totalsRowShown="0">
  <autoFilter ref="B2:J3" xr:uid="{29735CBC-4A44-461C-8BBD-E099AF7A7628}"/>
  <tableColumns count="9">
    <tableColumn id="1" xr3:uid="{B376FB57-41B7-41DF-B726-B3CBD8490EC1}" name="Adhérents"/>
    <tableColumn id="2" xr3:uid="{7254325C-E5ED-4A3F-B0D4-4A716AF28498}" name="Code" dataDxfId="61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60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58"/>
    <tableColumn id="2" xr3:uid="{8DFC754C-6CDD-4E80-90EA-B3E7E18B4A3F}" name="Groupe" dataDxfId="57"/>
    <tableColumn id="3" xr3:uid="{618B2832-B035-46DE-8B6B-E3F739882344}" name="Nom" dataDxfId="56"/>
    <tableColumn id="4" xr3:uid="{ED01026A-D995-4823-B05B-707BCC7D32DA}" name="Prénom" dataDxfId="55"/>
    <tableColumn id="5" xr3:uid="{1EF478E4-D45A-4DC0-893D-ED1065344A0B}" name="Adresse" dataDxfId="54"/>
    <tableColumn id="6" xr3:uid="{1C414D51-A3B1-440A-A4B3-46CEBA033171}" name="Complément" dataDxfId="53"/>
    <tableColumn id="7" xr3:uid="{6FE27231-B300-4533-B60B-00A80D833318}" name="Code Postal" dataDxfId="52"/>
    <tableColumn id="8" xr3:uid="{4BCB210A-527B-4D2A-B453-0FBAB0092EED}" name="Ville" dataDxfId="51"/>
    <tableColumn id="9" xr3:uid="{B40D9E1C-C9F4-4237-9A17-5D3B7C2409AA}" name="Téléphone" dataDxfId="50"/>
    <tableColumn id="10" xr3:uid="{94189408-EF41-487C-B363-9587E84551F1}" name="Email" dataDxfId="49"/>
    <tableColumn id="11" xr3:uid="{764EB7C1-CE48-4594-A554-B68AE9478C43}" name="Date" dataDxfId="48"/>
    <tableColumn id="12" xr3:uid="{35A7225E-7301-4F26-99EB-5199BB11E4EE}" name="Ville2" dataDxfId="47"/>
    <tableColumn id="13" xr3:uid="{6684DFA4-19BF-4B75-8BD0-AF8C9F5810D6}" name="Code Postal3" dataDxfId="46"/>
    <tableColumn id="14" xr3:uid="{65F0D2F0-CDD8-4808-923F-E7927C362E97}" name="Prénom NOM" dataDxfId="45"/>
    <tableColumn id="15" xr3:uid="{E7464922-2589-424C-B3A9-6BC29EA7B8DB}" name="Prénom NOM4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3" insertRow="1" totalsRowShown="0">
  <autoFilter ref="B2:F3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C63978-2E2E-461F-833A-C6A322A9585D}" name="Tableau63" displayName="Tableau63" ref="B2:L3" insertRow="1" totalsRowShown="0" tableBorderDxfId="43">
  <autoFilter ref="B2:L3" xr:uid="{29735CBC-4A44-461C-8BBD-E099AF7A7628}"/>
  <tableColumns count="11">
    <tableColumn id="1" xr3:uid="{ECAF8575-A203-4B25-BB9C-FDDF7CB0FC9F}" name="Adhérents"/>
    <tableColumn id="2" xr3:uid="{85CA8E94-C9BB-4BBB-B78D-B6E79525A562}" name="Code" dataDxfId="42"/>
    <tableColumn id="3" xr3:uid="{5C41802C-F4AC-46DF-8B24-E41657CFC5B2}" name="Désignation" dataDxfId="41"/>
    <tableColumn id="4" xr3:uid="{910A3236-162F-4F10-9494-9FE4C4D63935}" name="Origine"/>
    <tableColumn id="5" xr3:uid="{FC6A058B-F4B2-4756-BC4B-01E31DA3AD98}" name="Qté" dataDxfId="40"/>
    <tableColumn id="6" xr3:uid="{9394B008-3B07-4FCC-A384-0B9DA1F694F6}" name="Unité"/>
    <tableColumn id="7" xr3:uid="{E11EC8F0-A66C-4BF9-8C58-4492649145C8}" name="Cause"/>
    <tableColumn id="8" xr3:uid="{8265C124-9977-4857-826C-AC627564A4B9}" name="Remarque"/>
    <tableColumn id="12" xr3:uid="{DF9EE8E8-41D7-4C2C-8534-E9C33ECA80FF}" name="Avoir" dataDxfId="39"/>
    <tableColumn id="11" xr3:uid="{3A12C995-4597-4AE7-B36E-F61405A4CE47}" name="Prix facturé" dataDxfId="38" dataCellStyle="Monétaire"/>
    <tableColumn id="10" xr3:uid="{396607D8-34A0-4DAC-B008-35B1E03F799F}" name="Montant" dataDxfId="37" dataCellStyle="Moné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36" dataDxfId="35" tableBorderDxfId="34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33"/>
    <tableColumn id="2" xr3:uid="{477EB059-8388-4060-83C3-F27821E44273}" name="Designation" dataDxfId="32"/>
    <tableColumn id="3" xr3:uid="{A7515F3A-933D-48E9-A3C4-5DC877C7282F}" name="Qté" dataDxfId="31"/>
    <tableColumn id="4" xr3:uid="{23535833-97E1-4A28-92B6-7D2DC59018BF}" name="Unité" dataDxfId="30"/>
    <tableColumn id="9" xr3:uid="{FF7D90B4-0EBD-48B5-80B0-C32A6F259197}" name="€/Kg" dataDxfId="29" dataCellStyle="Monétaire"/>
    <tableColumn id="5" xr3:uid="{2BE2B6DE-FEFB-4DE7-81A2-9A2926F1A35B}" name="Cause" dataDxfId="28"/>
    <tableColumn id="6" xr3:uid="{78C02F95-5F3B-4E3A-9ED8-94BAB9AF9DD1}" name="Avoir" dataDxfId="27"/>
    <tableColumn id="7" xr3:uid="{0C811301-9E4C-43C2-8BB1-1E190A93FF4E}" name="Commentaires" dataDxfId="26"/>
    <tableColumn id="8" xr3:uid="{43E395EC-14E1-4060-94B9-FB0DBBA8A208}" name="A Rembourser" dataDxfId="25" dataCellStyle="Monétaire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M3" insertRow="1" totalsRowShown="0">
  <autoFilter ref="B2:M3" xr:uid="{357B5F88-E97F-4B4A-A096-BE9F674B29BB}"/>
  <tableColumns count="12">
    <tableColumn id="1" xr3:uid="{B9D2AFA2-9B6B-4BFB-87DF-4C005370ECC9}" name="Code" dataDxfId="24"/>
    <tableColumn id="10" xr3:uid="{1B49C7D7-7AD4-49FD-90CD-BFDE263AF91B}" name="Designation" dataDxfId="2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2">
      <calculatedColumnFormula>VLOOKUP(Tableau7[[#This Row],[Unité]],Config!$B$6:$C$12,2,FALSE)</calculatedColumnFormula>
    </tableColumn>
    <tableColumn id="8" xr3:uid="{95E24946-E409-4E1F-AC3D-1D2185A2A03D}" name="Causa" dataDxfId="21">
      <calculatedColumnFormula>VLOOKUP(Tableau7[[#This Row],[Cause]],Config!$B$1:$C$4,2,FALSE)</calculatedColumnFormula>
    </tableColumn>
    <tableColumn id="9" xr3:uid="{6126BD0C-9AA5-4CAD-B444-4118C3EA0A5E}" name="ID_regrouper" dataDxfId="20">
      <calculatedColumnFormula>Tableau7[[#This Row],[Producto]]&amp;Tableau7[[#This Row],[Causa]]</calculatedColumnFormula>
    </tableColumn>
    <tableColumn id="12" xr3:uid="{6A0036D1-BD40-4B07-88AF-4322E2950295}" name="Precio" dataDxfId="19" dataCellStyle="Monétaire">
      <calculatedColumnFormula>VLOOKUP(Tableau7[[#This Row],[Designation]],BBD!B:M,6,FALSE)*(100/137)*Tableau7[[#This Row],[Peso]]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10" Type="http://schemas.openxmlformats.org/officeDocument/2006/relationships/table" Target="../tables/table7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P300"/>
  <sheetViews>
    <sheetView tabSelected="1" workbookViewId="0">
      <selection activeCell="T6" sqref="T6"/>
    </sheetView>
  </sheetViews>
  <sheetFormatPr baseColWidth="10" defaultRowHeight="15" outlineLevelCol="1"/>
  <cols>
    <col min="1" max="1" width="11.42578125" style="2"/>
    <col min="2" max="2" width="46" style="3" customWidth="1"/>
    <col min="3" max="3" width="11.42578125" style="2" outlineLevel="1"/>
    <col min="4" max="4" width="51.28515625" style="3" customWidth="1" outlineLevel="1"/>
    <col min="5" max="5" width="11.42578125" style="2" outlineLevel="1"/>
    <col min="6" max="6" width="6.7109375" style="2" customWidth="1" outlineLevel="1"/>
    <col min="7" max="7" width="9.7109375" style="3" customWidth="1" outlineLevel="1"/>
    <col min="8" max="8" width="6.7109375" style="3" customWidth="1"/>
    <col min="9" max="12" width="5.7109375" style="3" customWidth="1"/>
  </cols>
  <sheetData>
    <row r="1" spans="1:16" ht="38.25">
      <c r="A1" s="175" t="s">
        <v>2</v>
      </c>
      <c r="B1" s="175" t="s">
        <v>3</v>
      </c>
      <c r="C1" s="175" t="s">
        <v>4</v>
      </c>
      <c r="D1" s="175" t="s">
        <v>5</v>
      </c>
      <c r="E1" s="175" t="s">
        <v>6</v>
      </c>
      <c r="F1" s="175" t="s">
        <v>7</v>
      </c>
      <c r="G1" s="175" t="s">
        <v>8</v>
      </c>
      <c r="H1" s="175" t="s">
        <v>9</v>
      </c>
      <c r="I1" s="176" t="s">
        <v>10</v>
      </c>
      <c r="J1" s="176" t="s">
        <v>11</v>
      </c>
      <c r="K1" s="176" t="s">
        <v>12</v>
      </c>
      <c r="L1" s="175" t="s">
        <v>13</v>
      </c>
      <c r="M1" s="1" t="s">
        <v>145</v>
      </c>
      <c r="N1" s="1" t="s">
        <v>146</v>
      </c>
      <c r="O1" s="1" t="s">
        <v>147</v>
      </c>
      <c r="P1" s="1" t="s">
        <v>148</v>
      </c>
    </row>
    <row r="2" spans="1:16" ht="45">
      <c r="B2" s="7"/>
      <c r="F2" s="4"/>
      <c r="G2" s="5"/>
      <c r="H2" s="6"/>
      <c r="I2" s="226"/>
      <c r="J2" s="226"/>
      <c r="K2" s="226"/>
      <c r="L2" s="226"/>
      <c r="M2" s="8">
        <f>Tableau3[[#This Row],[CODE]]</f>
        <v>0</v>
      </c>
      <c r="N2" s="8">
        <f>IFERROR(SEARCH(SAV!$M$6,B2),0)</f>
        <v>0</v>
      </c>
      <c r="O2" s="8" t="str">
        <f>IF(N2=0,"",COUNTIF($N$2:N2,1))</f>
        <v/>
      </c>
      <c r="P2" s="8" t="str">
        <f>IFERROR(INDEX(B:B,MATCH(ROW(O1),O:O,0)),"")</f>
        <v/>
      </c>
    </row>
    <row r="3" spans="1:16" ht="22.5">
      <c r="B3" s="7"/>
      <c r="F3" s="4"/>
      <c r="G3" s="5"/>
      <c r="H3" s="6"/>
      <c r="I3" s="226"/>
      <c r="J3" s="226"/>
      <c r="K3" s="226"/>
      <c r="L3" s="226"/>
      <c r="M3" s="8">
        <f>Tableau3[[#This Row],[CODE]]</f>
        <v>0</v>
      </c>
      <c r="N3" s="8">
        <f>IFERROR(SEARCH(SAV!$M$6,B3),0)</f>
        <v>0</v>
      </c>
      <c r="O3" s="8" t="str">
        <f>IF(N3=0,"",COUNTIF($N1:N3,1))</f>
        <v/>
      </c>
      <c r="P3" s="8" t="str">
        <f>IFERROR(INDEX(B:B,MATCH(ROW(O2),O:O,0)),"")</f>
        <v/>
      </c>
    </row>
    <row r="4" spans="1:16" ht="33.75">
      <c r="B4" s="7"/>
      <c r="F4" s="4"/>
      <c r="G4" s="5"/>
      <c r="H4" s="6"/>
      <c r="I4" s="226"/>
      <c r="J4" s="226"/>
      <c r="K4" s="226"/>
      <c r="L4" s="226"/>
      <c r="M4" s="8">
        <f>Tableau3[[#This Row],[CODE]]</f>
        <v>0</v>
      </c>
      <c r="N4" s="8">
        <f>IFERROR(SEARCH(SAV!$M$6,B4),0)</f>
        <v>0</v>
      </c>
      <c r="O4" s="8" t="str">
        <f>IF(N4=0,"",COUNTIF($N$2:N4,1))</f>
        <v/>
      </c>
      <c r="P4" s="8" t="str">
        <f>IFERROR(INDEX(B:B,MATCH(ROW(O3),O:O,0)),"")</f>
        <v/>
      </c>
    </row>
    <row r="5" spans="1:16" ht="33.75">
      <c r="B5" s="7"/>
      <c r="F5" s="4"/>
      <c r="G5" s="5"/>
      <c r="H5" s="6"/>
      <c r="I5" s="226"/>
      <c r="J5" s="226"/>
      <c r="K5" s="226"/>
      <c r="L5" s="226"/>
      <c r="M5" s="8">
        <f>Tableau3[[#This Row],[CODE]]</f>
        <v>0</v>
      </c>
      <c r="N5" s="8">
        <f>IFERROR(SEARCH(SAV!$M$6,B5),0)</f>
        <v>0</v>
      </c>
      <c r="O5" s="8" t="str">
        <f>IF(N5=0,"",COUNTIF($N$2:N5,1))</f>
        <v/>
      </c>
      <c r="P5" s="8" t="str">
        <f>IFERROR(INDEX(B:B,MATCH(ROW(O4),O:O,0)),"")</f>
        <v/>
      </c>
    </row>
    <row r="6" spans="1:16" ht="45">
      <c r="B6" s="7"/>
      <c r="F6" s="4"/>
      <c r="G6" s="5"/>
      <c r="H6" s="6"/>
      <c r="I6" s="226"/>
      <c r="J6" s="226"/>
      <c r="K6" s="226"/>
      <c r="L6" s="226"/>
      <c r="M6" s="8">
        <f>Tableau3[[#This Row],[CODE]]</f>
        <v>0</v>
      </c>
      <c r="N6" s="8">
        <f>IFERROR(SEARCH(SAV!$M$6,B6),0)</f>
        <v>0</v>
      </c>
      <c r="O6" s="8" t="str">
        <f>IF(N6=0,"",COUNTIF($N$2:N6,1))</f>
        <v/>
      </c>
      <c r="P6" s="8" t="str">
        <f>IFERROR(INDEX(B:B,MATCH(ROW(O5),O:O,0)),"")</f>
        <v/>
      </c>
    </row>
    <row r="7" spans="1:16" ht="45">
      <c r="B7" s="7"/>
      <c r="F7" s="4"/>
      <c r="G7" s="5"/>
      <c r="H7" s="6"/>
      <c r="I7" s="226"/>
      <c r="J7" s="226"/>
      <c r="K7" s="226"/>
      <c r="L7" s="226"/>
      <c r="M7" s="8">
        <f>Tableau3[[#This Row],[CODE]]</f>
        <v>0</v>
      </c>
      <c r="N7" s="8">
        <f>IFERROR(SEARCH(SAV!$M$6,B7),0)</f>
        <v>0</v>
      </c>
      <c r="O7" s="8" t="str">
        <f>IF(N7=0,"",COUNTIF($N$2:N7,1))</f>
        <v/>
      </c>
      <c r="P7" s="8" t="str">
        <f>IFERROR(INDEX(B:B,MATCH(ROW(O6),O:O,0)),"")</f>
        <v/>
      </c>
    </row>
    <row r="8" spans="1:16" ht="45">
      <c r="B8" s="7"/>
      <c r="F8" s="4"/>
      <c r="G8" s="5"/>
      <c r="H8" s="6"/>
      <c r="I8" s="226"/>
      <c r="J8" s="226"/>
      <c r="K8" s="226"/>
      <c r="L8" s="226"/>
      <c r="M8" s="8">
        <f>Tableau3[[#This Row],[CODE]]</f>
        <v>0</v>
      </c>
      <c r="N8" s="8">
        <f>IFERROR(SEARCH(SAV!$M$6,B8),0)</f>
        <v>0</v>
      </c>
      <c r="O8" s="8" t="str">
        <f>IF(N8=0,"",COUNTIF($N$2:N8,1))</f>
        <v/>
      </c>
      <c r="P8" s="8" t="str">
        <f>IFERROR(INDEX(B:B,MATCH(ROW(O7),O:O,0)),"")</f>
        <v/>
      </c>
    </row>
    <row r="9" spans="1:16" ht="45">
      <c r="B9" s="7"/>
      <c r="F9" s="4"/>
      <c r="G9" s="5"/>
      <c r="H9" s="6"/>
      <c r="I9" s="226"/>
      <c r="J9" s="226"/>
      <c r="K9" s="226"/>
      <c r="L9" s="226"/>
      <c r="M9" s="8">
        <f>Tableau3[[#This Row],[CODE]]</f>
        <v>0</v>
      </c>
      <c r="N9" s="8">
        <f>IFERROR(SEARCH(SAV!$M$6,B9),0)</f>
        <v>0</v>
      </c>
      <c r="O9" s="8" t="str">
        <f>IF(N9=0,"",COUNTIF($N$2:N9,1))</f>
        <v/>
      </c>
      <c r="P9" s="8" t="str">
        <f>IFERROR(INDEX(B:B,MATCH(ROW(O8),O:O,0)),"")</f>
        <v/>
      </c>
    </row>
    <row r="10" spans="1:16" ht="67.5">
      <c r="B10" s="7"/>
      <c r="F10" s="4"/>
      <c r="G10" s="5"/>
      <c r="H10" s="6"/>
      <c r="I10" s="226"/>
      <c r="J10" s="226"/>
      <c r="K10" s="226"/>
      <c r="L10" s="226"/>
      <c r="M10" s="8">
        <f>Tableau3[[#This Row],[CODE]]</f>
        <v>0</v>
      </c>
      <c r="N10" s="8">
        <f>IFERROR(SEARCH(SAV!$M$6,B10),0)</f>
        <v>0</v>
      </c>
      <c r="O10" s="8" t="str">
        <f>IF(N10=0,"",COUNTIF($N$2:N10,1))</f>
        <v/>
      </c>
      <c r="P10" s="8" t="str">
        <f>IFERROR(INDEX(B:B,MATCH(ROW(O9),O:O,0)),"")</f>
        <v/>
      </c>
    </row>
    <row r="11" spans="1:16" ht="67.5">
      <c r="B11" s="7"/>
      <c r="F11" s="4"/>
      <c r="G11" s="5"/>
      <c r="H11" s="6"/>
      <c r="I11" s="226"/>
      <c r="J11" s="226"/>
      <c r="K11" s="226"/>
      <c r="L11" s="226"/>
      <c r="M11" s="8">
        <f>Tableau3[[#This Row],[CODE]]</f>
        <v>0</v>
      </c>
      <c r="N11" s="8">
        <f>IFERROR(SEARCH(SAV!$M$6,B11),0)</f>
        <v>0</v>
      </c>
      <c r="O11" s="8" t="str">
        <f>IF(N11=0,"",COUNTIF($N$2:N11,1))</f>
        <v/>
      </c>
      <c r="P11" s="8" t="str">
        <f>IFERROR(INDEX(B:B,MATCH(ROW(O10),O:O,0)),"")</f>
        <v/>
      </c>
    </row>
    <row r="12" spans="1:16" ht="45">
      <c r="B12" s="7"/>
      <c r="F12" s="4"/>
      <c r="G12" s="5"/>
      <c r="H12" s="6"/>
      <c r="I12" s="226"/>
      <c r="J12" s="226"/>
      <c r="K12" s="226"/>
      <c r="L12" s="226"/>
      <c r="M12" s="8">
        <f>Tableau3[[#This Row],[CODE]]</f>
        <v>0</v>
      </c>
      <c r="N12" s="8">
        <f>IFERROR(SEARCH(SAV!$M$6,B12),0)</f>
        <v>0</v>
      </c>
      <c r="O12" s="8" t="str">
        <f>IF(N12=0,"",COUNTIF($N$2:N12,1))</f>
        <v/>
      </c>
      <c r="P12" s="8" t="str">
        <f>IFERROR(INDEX(B:B,MATCH(ROW(O11),O:O,0)),"")</f>
        <v/>
      </c>
    </row>
    <row r="13" spans="1:16" ht="33.75">
      <c r="B13" s="7"/>
      <c r="F13" s="4"/>
      <c r="G13" s="5"/>
      <c r="H13" s="6"/>
      <c r="I13" s="226"/>
      <c r="J13" s="226"/>
      <c r="K13" s="226"/>
      <c r="L13" s="226"/>
      <c r="M13" s="8">
        <f>Tableau3[[#This Row],[CODE]]</f>
        <v>0</v>
      </c>
      <c r="N13" s="8">
        <f>IFERROR(SEARCH(SAV!$M$6,B13),0)</f>
        <v>0</v>
      </c>
      <c r="O13" s="8" t="str">
        <f>IF(N13=0,"",COUNTIF($N$2:N13,1))</f>
        <v/>
      </c>
      <c r="P13" s="8" t="str">
        <f>IFERROR(INDEX(B:B,MATCH(ROW(O12),O:O,0)),"")</f>
        <v/>
      </c>
    </row>
    <row r="14" spans="1:16" ht="45">
      <c r="B14" s="7"/>
      <c r="F14" s="4"/>
      <c r="G14" s="5"/>
      <c r="H14" s="6"/>
      <c r="I14" s="226"/>
      <c r="J14" s="226"/>
      <c r="K14" s="226"/>
      <c r="L14" s="226"/>
      <c r="M14" s="8">
        <f>Tableau3[[#This Row],[CODE]]</f>
        <v>0</v>
      </c>
      <c r="N14" s="8">
        <f>IFERROR(SEARCH(SAV!$M$6,B14),0)</f>
        <v>0</v>
      </c>
      <c r="O14" s="8" t="str">
        <f>IF(N14=0,"",COUNTIF($N$2:N14,1))</f>
        <v/>
      </c>
      <c r="P14" s="8" t="str">
        <f>IFERROR(INDEX(B:B,MATCH(ROW(O13),O:O,0)),"")</f>
        <v/>
      </c>
    </row>
    <row r="15" spans="1:16" ht="56.25">
      <c r="B15" s="7"/>
      <c r="F15" s="4"/>
      <c r="G15" s="5"/>
      <c r="H15" s="6"/>
      <c r="I15" s="226"/>
      <c r="J15" s="226"/>
      <c r="K15" s="226"/>
      <c r="L15" s="226"/>
      <c r="M15" s="8">
        <f>Tableau3[[#This Row],[CODE]]</f>
        <v>0</v>
      </c>
      <c r="N15" s="8">
        <f>IFERROR(SEARCH(SAV!$M$6,B15),0)</f>
        <v>0</v>
      </c>
      <c r="O15" s="8" t="str">
        <f>IF(N15=0,"",COUNTIF($N$2:N15,1))</f>
        <v/>
      </c>
      <c r="P15" s="8" t="str">
        <f>IFERROR(INDEX(B:B,MATCH(ROW(O14),O:O,0)),"")</f>
        <v/>
      </c>
    </row>
    <row r="16" spans="1:16" ht="78.75">
      <c r="B16" s="7"/>
      <c r="F16" s="4"/>
      <c r="G16" s="5"/>
      <c r="H16" s="6"/>
      <c r="I16" s="226"/>
      <c r="J16" s="226"/>
      <c r="K16" s="226"/>
      <c r="L16" s="226"/>
      <c r="M16" s="8">
        <f>Tableau3[[#This Row],[CODE]]</f>
        <v>0</v>
      </c>
      <c r="N16" s="8">
        <f>IFERROR(SEARCH(SAV!$M$6,B16),0)</f>
        <v>0</v>
      </c>
      <c r="O16" s="8" t="str">
        <f>IF(N16=0,"",COUNTIF($N$2:N16,1))</f>
        <v/>
      </c>
      <c r="P16" s="8" t="str">
        <f>IFERROR(INDEX(B:B,MATCH(ROW(O15),O:O,0)),"")</f>
        <v/>
      </c>
    </row>
    <row r="17" spans="2:16" ht="45">
      <c r="B17" s="7"/>
      <c r="F17" s="4"/>
      <c r="G17" s="5"/>
      <c r="H17" s="6"/>
      <c r="I17" s="226"/>
      <c r="J17" s="226"/>
      <c r="K17" s="226"/>
      <c r="L17" s="226"/>
      <c r="M17" s="8">
        <f>Tableau3[[#This Row],[CODE]]</f>
        <v>0</v>
      </c>
      <c r="N17" s="8">
        <f>IFERROR(SEARCH(SAV!$M$6,B17),0)</f>
        <v>0</v>
      </c>
      <c r="O17" s="8" t="str">
        <f>IF(N17=0,"",COUNTIF($N$2:N17,1))</f>
        <v/>
      </c>
      <c r="P17" s="8" t="str">
        <f>IFERROR(INDEX(B:B,MATCH(ROW(O16),O:O,0)),"")</f>
        <v/>
      </c>
    </row>
    <row r="18" spans="2:16" ht="33.75">
      <c r="B18" s="7"/>
      <c r="F18" s="4"/>
      <c r="G18" s="5"/>
      <c r="H18" s="6"/>
      <c r="I18" s="226"/>
      <c r="J18" s="226"/>
      <c r="K18" s="226"/>
      <c r="L18" s="226"/>
      <c r="M18" s="8">
        <f>Tableau3[[#This Row],[CODE]]</f>
        <v>0</v>
      </c>
      <c r="N18" s="8">
        <f>IFERROR(SEARCH(SAV!$M$6,B18),0)</f>
        <v>0</v>
      </c>
      <c r="O18" s="8" t="str">
        <f>IF(N18=0,"",COUNTIF($N$2:N18,1))</f>
        <v/>
      </c>
      <c r="P18" s="8" t="str">
        <f>IFERROR(INDEX(B:B,MATCH(ROW(O17),O:O,0)),"")</f>
        <v/>
      </c>
    </row>
    <row r="19" spans="2:16" ht="33.75">
      <c r="B19" s="7"/>
      <c r="F19" s="4"/>
      <c r="G19" s="5"/>
      <c r="H19" s="6"/>
      <c r="I19" s="226"/>
      <c r="J19" s="226"/>
      <c r="K19" s="226"/>
      <c r="L19" s="226"/>
      <c r="M19" s="8">
        <f>Tableau3[[#This Row],[CODE]]</f>
        <v>0</v>
      </c>
      <c r="N19" s="8">
        <f>IFERROR(SEARCH(SAV!$M$6,B19),0)</f>
        <v>0</v>
      </c>
      <c r="O19" s="8" t="str">
        <f>IF(N19=0,"",COUNTIF($N$2:N19,1))</f>
        <v/>
      </c>
      <c r="P19" s="8" t="str">
        <f>IFERROR(INDEX(B:B,MATCH(ROW(O18),O:O,0)),"")</f>
        <v/>
      </c>
    </row>
    <row r="20" spans="2:16">
      <c r="B20" s="7"/>
      <c r="F20" s="4"/>
      <c r="G20" s="5"/>
      <c r="H20" s="6"/>
      <c r="I20" s="226"/>
      <c r="J20" s="226"/>
      <c r="K20" s="226"/>
      <c r="L20" s="226"/>
      <c r="M20" s="8">
        <f>Tableau3[[#This Row],[CODE]]</f>
        <v>0</v>
      </c>
      <c r="N20" s="8">
        <f>IFERROR(SEARCH(SAV!$M$6,B20),0)</f>
        <v>0</v>
      </c>
      <c r="O20" s="8" t="str">
        <f>IF(N20=0,"",COUNTIF($N$2:N20,1))</f>
        <v/>
      </c>
      <c r="P20" s="8" t="str">
        <f>IFERROR(INDEX(B:B,MATCH(ROW(O19),O:O,0)),"")</f>
        <v/>
      </c>
    </row>
    <row r="21" spans="2:16" ht="22.5">
      <c r="B21" s="7"/>
      <c r="F21" s="4"/>
      <c r="G21" s="5"/>
      <c r="H21" s="6"/>
      <c r="I21" s="226"/>
      <c r="J21" s="226"/>
      <c r="K21" s="226"/>
      <c r="L21" s="226"/>
      <c r="M21" s="8">
        <f>Tableau3[[#This Row],[CODE]]</f>
        <v>0</v>
      </c>
      <c r="N21" s="8">
        <f>IFERROR(SEARCH(SAV!$M$6,B21),0)</f>
        <v>0</v>
      </c>
      <c r="O21" s="8" t="str">
        <f>IF(N21=0,"",COUNTIF($N$2:N21,1))</f>
        <v/>
      </c>
      <c r="P21" s="8" t="str">
        <f>IFERROR(INDEX(B:B,MATCH(ROW(O20),O:O,0)),"")</f>
        <v/>
      </c>
    </row>
    <row r="22" spans="2:16" ht="67.5">
      <c r="B22" s="7"/>
      <c r="F22" s="4"/>
      <c r="G22" s="5"/>
      <c r="H22" s="6"/>
      <c r="I22" s="226"/>
      <c r="J22" s="226"/>
      <c r="K22" s="226"/>
      <c r="L22" s="226"/>
      <c r="M22" s="8">
        <f>Tableau3[[#This Row],[CODE]]</f>
        <v>0</v>
      </c>
      <c r="N22" s="8">
        <f>IFERROR(SEARCH(SAV!$M$6,B22),0)</f>
        <v>0</v>
      </c>
      <c r="O22" s="8" t="str">
        <f>IF(N22=0,"",COUNTIF($N$2:N22,1))</f>
        <v/>
      </c>
      <c r="P22" s="8" t="str">
        <f>IFERROR(INDEX(B:B,MATCH(ROW(O21),O:O,0)),"")</f>
        <v/>
      </c>
    </row>
    <row r="23" spans="2:16" ht="90">
      <c r="B23" s="7"/>
      <c r="F23" s="4"/>
      <c r="G23" s="5"/>
      <c r="H23" s="6"/>
      <c r="I23" s="226"/>
      <c r="J23" s="226"/>
      <c r="K23" s="226"/>
      <c r="L23" s="226"/>
      <c r="M23" s="8">
        <f>Tableau3[[#This Row],[CODE]]</f>
        <v>0</v>
      </c>
      <c r="N23" s="8">
        <f>IFERROR(SEARCH(SAV!$M$6,B23),0)</f>
        <v>0</v>
      </c>
      <c r="O23" s="8" t="str">
        <f>IF(N23=0,"",COUNTIF($N$2:N23,1))</f>
        <v/>
      </c>
      <c r="P23" s="8" t="str">
        <f>IFERROR(INDEX(B:B,MATCH(ROW(O22),O:O,0)),"")</f>
        <v/>
      </c>
    </row>
    <row r="24" spans="2:16" ht="90">
      <c r="B24" s="7"/>
      <c r="F24" s="4"/>
      <c r="G24" s="5"/>
      <c r="H24" s="6"/>
      <c r="I24" s="226"/>
      <c r="J24" s="226"/>
      <c r="K24" s="226"/>
      <c r="L24" s="226"/>
      <c r="M24" s="8">
        <f>Tableau3[[#This Row],[CODE]]</f>
        <v>0</v>
      </c>
      <c r="N24" s="8">
        <f>IFERROR(SEARCH(SAV!$M$6,B24),0)</f>
        <v>0</v>
      </c>
      <c r="O24" s="8" t="str">
        <f>IF(N24=0,"",COUNTIF($N$2:N24,1))</f>
        <v/>
      </c>
      <c r="P24" s="8" t="str">
        <f>IFERROR(INDEX(B:B,MATCH(ROW(O23),O:O,0)),"")</f>
        <v/>
      </c>
    </row>
    <row r="25" spans="2:16" ht="22.5">
      <c r="B25" s="7"/>
      <c r="F25" s="4"/>
      <c r="G25" s="5"/>
      <c r="H25" s="6"/>
      <c r="I25" s="226"/>
      <c r="J25" s="226"/>
      <c r="K25" s="226"/>
      <c r="L25" s="226"/>
      <c r="M25" s="8">
        <f>Tableau3[[#This Row],[CODE]]</f>
        <v>0</v>
      </c>
      <c r="N25" s="8">
        <f>IFERROR(SEARCH(SAV!$M$6,B25),0)</f>
        <v>0</v>
      </c>
      <c r="O25" s="8" t="str">
        <f>IF(N25=0,"",COUNTIF($N$2:N25,1))</f>
        <v/>
      </c>
      <c r="P25" s="8" t="str">
        <f>IFERROR(INDEX(B:B,MATCH(ROW(O24),O:O,0)),"")</f>
        <v/>
      </c>
    </row>
    <row r="26" spans="2:16" ht="33.75">
      <c r="B26" s="7"/>
      <c r="F26" s="4"/>
      <c r="G26" s="5"/>
      <c r="H26" s="6"/>
      <c r="I26" s="226"/>
      <c r="J26" s="226"/>
      <c r="K26" s="226"/>
      <c r="L26" s="226"/>
      <c r="M26" s="8">
        <f>Tableau3[[#This Row],[CODE]]</f>
        <v>0</v>
      </c>
      <c r="N26" s="8">
        <f>IFERROR(SEARCH(SAV!$M$6,B26),0)</f>
        <v>0</v>
      </c>
      <c r="O26" s="8" t="str">
        <f>IF(N26=0,"",COUNTIF($N$2:N26,1))</f>
        <v/>
      </c>
      <c r="P26" s="8" t="str">
        <f>IFERROR(INDEX(B:B,MATCH(ROW(O25),O:O,0)),"")</f>
        <v/>
      </c>
    </row>
    <row r="27" spans="2:16" ht="33.75">
      <c r="B27" s="7"/>
      <c r="F27" s="4"/>
      <c r="G27" s="5"/>
      <c r="H27" s="6"/>
      <c r="I27" s="226"/>
      <c r="J27" s="226"/>
      <c r="K27" s="226"/>
      <c r="L27" s="226"/>
      <c r="M27" s="8">
        <f>Tableau3[[#This Row],[CODE]]</f>
        <v>0</v>
      </c>
      <c r="N27" s="8">
        <f>IFERROR(SEARCH(SAV!$M$6,B27),0)</f>
        <v>0</v>
      </c>
      <c r="O27" s="8" t="str">
        <f>IF(N27=0,"",COUNTIF($N$2:N27,1))</f>
        <v/>
      </c>
      <c r="P27" s="8" t="str">
        <f>IFERROR(INDEX(B:B,MATCH(ROW(O26),O:O,0)),"")</f>
        <v/>
      </c>
    </row>
    <row r="28" spans="2:16" ht="22.5">
      <c r="B28" s="7"/>
      <c r="F28" s="4"/>
      <c r="G28" s="5"/>
      <c r="H28" s="6"/>
      <c r="I28" s="226"/>
      <c r="J28" s="226"/>
      <c r="K28" s="226"/>
      <c r="L28" s="226"/>
      <c r="M28" s="8">
        <f>Tableau3[[#This Row],[CODE]]</f>
        <v>0</v>
      </c>
      <c r="N28" s="8">
        <f>IFERROR(SEARCH(SAV!$M$6,B28),0)</f>
        <v>0</v>
      </c>
      <c r="O28" s="8" t="str">
        <f>IF(N28=0,"",COUNTIF($N$2:N28,1))</f>
        <v/>
      </c>
      <c r="P28" s="8" t="str">
        <f>IFERROR(INDEX(B:B,MATCH(ROW(O27),O:O,0)),"")</f>
        <v/>
      </c>
    </row>
    <row r="29" spans="2:16" ht="22.5">
      <c r="B29" s="7"/>
      <c r="F29" s="4"/>
      <c r="G29" s="5"/>
      <c r="H29" s="6"/>
      <c r="I29" s="226"/>
      <c r="J29" s="226"/>
      <c r="K29" s="226"/>
      <c r="L29" s="226"/>
      <c r="M29" s="8">
        <f>Tableau3[[#This Row],[CODE]]</f>
        <v>0</v>
      </c>
      <c r="N29" s="8">
        <f>IFERROR(SEARCH(SAV!$M$6,B29),0)</f>
        <v>0</v>
      </c>
      <c r="O29" s="8" t="str">
        <f>IF(N29=0,"",COUNTIF($N$2:N29,1))</f>
        <v/>
      </c>
      <c r="P29" s="8" t="str">
        <f>IFERROR(INDEX(B:B,MATCH(ROW(O28),O:O,0)),"")</f>
        <v/>
      </c>
    </row>
    <row r="30" spans="2:16" ht="67.5">
      <c r="B30" s="7"/>
      <c r="F30" s="4"/>
      <c r="G30" s="5"/>
      <c r="H30" s="6"/>
      <c r="I30" s="226"/>
      <c r="J30" s="226"/>
      <c r="K30" s="226"/>
      <c r="L30" s="226"/>
      <c r="M30" s="8">
        <f>Tableau3[[#This Row],[CODE]]</f>
        <v>0</v>
      </c>
      <c r="N30" s="8">
        <f>IFERROR(SEARCH(SAV!$M$6,B30),0)</f>
        <v>0</v>
      </c>
      <c r="O30" s="8" t="str">
        <f>IF(N30=0,"",COUNTIF($N$2:N30,1))</f>
        <v/>
      </c>
      <c r="P30" s="8" t="str">
        <f>IFERROR(INDEX(B:B,MATCH(ROW(O29),O:O,0)),"")</f>
        <v/>
      </c>
    </row>
    <row r="31" spans="2:16" ht="22.5">
      <c r="B31" s="7"/>
      <c r="F31" s="4"/>
      <c r="G31" s="5"/>
      <c r="H31" s="6"/>
      <c r="I31" s="226"/>
      <c r="J31" s="226"/>
      <c r="K31" s="226"/>
      <c r="L31" s="226"/>
      <c r="M31" s="8">
        <f>Tableau3[[#This Row],[CODE]]</f>
        <v>0</v>
      </c>
      <c r="N31" s="8">
        <f>IFERROR(SEARCH(SAV!$M$6,B31),0)</f>
        <v>0</v>
      </c>
      <c r="O31" s="8" t="str">
        <f>IF(N31=0,"",COUNTIF($N$2:N31,1))</f>
        <v/>
      </c>
      <c r="P31" s="8" t="str">
        <f>IFERROR(INDEX(B:B,MATCH(ROW(O30),O:O,0)),"")</f>
        <v/>
      </c>
    </row>
    <row r="32" spans="2:16" ht="33.75">
      <c r="B32" s="7"/>
      <c r="F32" s="4"/>
      <c r="G32" s="5"/>
      <c r="H32" s="6"/>
      <c r="I32" s="226"/>
      <c r="J32" s="226"/>
      <c r="K32" s="226"/>
      <c r="L32" s="226"/>
      <c r="M32" s="8">
        <f>Tableau3[[#This Row],[CODE]]</f>
        <v>0</v>
      </c>
      <c r="N32" s="8">
        <f>IFERROR(SEARCH(SAV!$M$6,B32),0)</f>
        <v>0</v>
      </c>
      <c r="O32" s="8" t="str">
        <f>IF(N32=0,"",COUNTIF($N$2:N32,1))</f>
        <v/>
      </c>
      <c r="P32" s="8" t="str">
        <f>IFERROR(INDEX(B:B,MATCH(ROW(O31),O:O,0)),"")</f>
        <v/>
      </c>
    </row>
    <row r="33" spans="2:16" ht="33.75">
      <c r="B33" s="7"/>
      <c r="F33" s="4"/>
      <c r="G33" s="5"/>
      <c r="H33" s="6"/>
      <c r="I33" s="226"/>
      <c r="J33" s="226"/>
      <c r="K33" s="226"/>
      <c r="L33" s="226"/>
      <c r="M33" s="8">
        <f>Tableau3[[#This Row],[CODE]]</f>
        <v>0</v>
      </c>
      <c r="N33" s="8">
        <f>IFERROR(SEARCH(SAV!$M$6,B33),0)</f>
        <v>0</v>
      </c>
      <c r="O33" s="8" t="str">
        <f>IF(N33=0,"",COUNTIF($N$2:N33,1))</f>
        <v/>
      </c>
      <c r="P33" s="8" t="str">
        <f>IFERROR(INDEX(B:B,MATCH(ROW(O32),O:O,0)),"")</f>
        <v/>
      </c>
    </row>
    <row r="34" spans="2:16" ht="56.25">
      <c r="B34" s="7"/>
      <c r="F34" s="4"/>
      <c r="G34" s="5"/>
      <c r="H34" s="6"/>
      <c r="I34" s="226"/>
      <c r="J34" s="226"/>
      <c r="K34" s="226"/>
      <c r="L34" s="226"/>
      <c r="M34" s="8">
        <f>Tableau3[[#This Row],[CODE]]</f>
        <v>0</v>
      </c>
      <c r="N34" s="8">
        <f>IFERROR(SEARCH(SAV!$M$6,B34),0)</f>
        <v>0</v>
      </c>
      <c r="O34" s="8" t="str">
        <f>IF(N34=0,"",COUNTIF($N$2:N34,1))</f>
        <v/>
      </c>
      <c r="P34" s="8" t="str">
        <f>IFERROR(INDEX(B:B,MATCH(ROW(O33),O:O,0)),"")</f>
        <v/>
      </c>
    </row>
    <row r="35" spans="2:16" ht="56.25">
      <c r="B35" s="7"/>
      <c r="F35" s="4"/>
      <c r="G35" s="5"/>
      <c r="H35" s="6"/>
      <c r="I35" s="226"/>
      <c r="J35" s="226"/>
      <c r="K35" s="226"/>
      <c r="L35" s="226"/>
      <c r="M35" s="8">
        <f>Tableau3[[#This Row],[CODE]]</f>
        <v>0</v>
      </c>
      <c r="N35" s="8">
        <f>IFERROR(SEARCH(SAV!$M$6,B35),0)</f>
        <v>0</v>
      </c>
      <c r="O35" s="8" t="str">
        <f>IF(N35=0,"",COUNTIF($N$2:N35,1))</f>
        <v/>
      </c>
      <c r="P35" s="8" t="str">
        <f>IFERROR(INDEX(B:B,MATCH(ROW(O34),O:O,0)),"")</f>
        <v/>
      </c>
    </row>
    <row r="36" spans="2:16" ht="33.75">
      <c r="B36" s="7"/>
      <c r="F36" s="4"/>
      <c r="G36" s="5"/>
      <c r="H36" s="6"/>
      <c r="I36" s="226"/>
      <c r="J36" s="226"/>
      <c r="K36" s="226"/>
      <c r="L36" s="226"/>
      <c r="M36" s="8">
        <f>Tableau3[[#This Row],[CODE]]</f>
        <v>0</v>
      </c>
      <c r="N36" s="8">
        <f>IFERROR(SEARCH(SAV!$M$6,B36),0)</f>
        <v>0</v>
      </c>
      <c r="O36" s="8" t="str">
        <f>IF(N36=0,"",COUNTIF($N$2:N36,1))</f>
        <v/>
      </c>
      <c r="P36" s="8" t="str">
        <f>IFERROR(INDEX(B:B,MATCH(ROW(O35),O:O,0)),"")</f>
        <v/>
      </c>
    </row>
    <row r="37" spans="2:16" ht="33.75">
      <c r="B37" s="7"/>
      <c r="F37" s="4"/>
      <c r="G37" s="5"/>
      <c r="H37" s="6"/>
      <c r="I37" s="226"/>
      <c r="J37" s="226"/>
      <c r="K37" s="226"/>
      <c r="L37" s="226"/>
      <c r="M37" s="8">
        <f>Tableau3[[#This Row],[CODE]]</f>
        <v>0</v>
      </c>
      <c r="N37" s="8">
        <f>IFERROR(SEARCH(SAV!$M$6,B37),0)</f>
        <v>0</v>
      </c>
      <c r="O37" s="8" t="str">
        <f>IF(N37=0,"",COUNTIF($N$2:N37,1))</f>
        <v/>
      </c>
      <c r="P37" s="8" t="str">
        <f>IFERROR(INDEX(B:B,MATCH(ROW(O36),O:O,0)),"")</f>
        <v/>
      </c>
    </row>
    <row r="38" spans="2:16" ht="22.5">
      <c r="B38" s="7"/>
      <c r="F38" s="4"/>
      <c r="G38" s="5"/>
      <c r="H38" s="6"/>
      <c r="I38" s="226"/>
      <c r="J38" s="226"/>
      <c r="K38" s="226"/>
      <c r="L38" s="226"/>
      <c r="M38" s="8">
        <f>Tableau3[[#This Row],[CODE]]</f>
        <v>0</v>
      </c>
      <c r="N38" s="8">
        <f>IFERROR(SEARCH(SAV!$M$6,B38),0)</f>
        <v>0</v>
      </c>
      <c r="O38" s="8" t="str">
        <f>IF(N38=0,"",COUNTIF($N$2:N38,1))</f>
        <v/>
      </c>
      <c r="P38" s="8" t="str">
        <f>IFERROR(INDEX(B:B,MATCH(ROW(O37),O:O,0)),"")</f>
        <v/>
      </c>
    </row>
    <row r="39" spans="2:16" ht="22.5">
      <c r="B39" s="7"/>
      <c r="F39" s="4"/>
      <c r="G39" s="5"/>
      <c r="H39" s="6"/>
      <c r="I39" s="226"/>
      <c r="J39" s="226"/>
      <c r="K39" s="226"/>
      <c r="L39" s="226"/>
      <c r="M39" s="8">
        <f>Tableau3[[#This Row],[CODE]]</f>
        <v>0</v>
      </c>
      <c r="N39" s="8">
        <f>IFERROR(SEARCH(SAV!$M$6,B39),0)</f>
        <v>0</v>
      </c>
      <c r="O39" s="8" t="str">
        <f>IF(N39=0,"",COUNTIF($N$2:N39,1))</f>
        <v/>
      </c>
      <c r="P39" s="8" t="str">
        <f>IFERROR(INDEX(B:B,MATCH(ROW(O38),O:O,0)),"")</f>
        <v/>
      </c>
    </row>
    <row r="40" spans="2:16">
      <c r="B40" s="7"/>
      <c r="F40" s="4"/>
      <c r="G40" s="5"/>
      <c r="H40" s="6"/>
      <c r="I40" s="226"/>
      <c r="J40" s="226"/>
      <c r="K40" s="226"/>
      <c r="L40" s="226"/>
      <c r="M40" s="8">
        <f>Tableau3[[#This Row],[CODE]]</f>
        <v>0</v>
      </c>
      <c r="N40" s="8">
        <f>IFERROR(SEARCH(SAV!$M$6,B40),0)</f>
        <v>0</v>
      </c>
      <c r="O40" s="8" t="str">
        <f>IF(N40=0,"",COUNTIF($N$2:N40,1))</f>
        <v/>
      </c>
      <c r="P40" s="8" t="str">
        <f>IFERROR(INDEX(B:B,MATCH(ROW(O39),O:O,0)),"")</f>
        <v/>
      </c>
    </row>
    <row r="41" spans="2:16" ht="22.5">
      <c r="B41" s="7"/>
      <c r="F41" s="4"/>
      <c r="G41" s="5"/>
      <c r="H41" s="6"/>
      <c r="I41" s="226"/>
      <c r="J41" s="226"/>
      <c r="K41" s="226"/>
      <c r="L41" s="226"/>
      <c r="M41" s="8">
        <f>Tableau3[[#This Row],[CODE]]</f>
        <v>0</v>
      </c>
      <c r="N41" s="8">
        <f>IFERROR(SEARCH(SAV!$M$6,B41),0)</f>
        <v>0</v>
      </c>
      <c r="O41" s="8" t="str">
        <f>IF(N41=0,"",COUNTIF($N$2:N41,1))</f>
        <v/>
      </c>
      <c r="P41" s="8" t="str">
        <f>IFERROR(INDEX(B:B,MATCH(ROW(O40),O:O,0)),"")</f>
        <v/>
      </c>
    </row>
    <row r="42" spans="2:16" ht="56.25">
      <c r="B42" s="7"/>
      <c r="F42" s="4"/>
      <c r="G42" s="5"/>
      <c r="H42" s="6"/>
      <c r="I42" s="226"/>
      <c r="J42" s="226"/>
      <c r="K42" s="226"/>
      <c r="L42" s="226"/>
      <c r="M42" s="8">
        <f>Tableau3[[#This Row],[CODE]]</f>
        <v>0</v>
      </c>
      <c r="N42" s="8">
        <f>IFERROR(SEARCH(SAV!$M$6,B42),0)</f>
        <v>0</v>
      </c>
      <c r="O42" s="8" t="str">
        <f>IF(N42=0,"",COUNTIF($N$2:N42,1))</f>
        <v/>
      </c>
      <c r="P42" s="8" t="str">
        <f>IFERROR(INDEX(B:B,MATCH(ROW(O41),O:O,0)),"")</f>
        <v/>
      </c>
    </row>
    <row r="43" spans="2:16">
      <c r="B43" s="7"/>
      <c r="F43" s="4"/>
      <c r="G43" s="5"/>
      <c r="H43" s="6"/>
      <c r="I43" s="226"/>
      <c r="J43" s="226"/>
      <c r="K43" s="226"/>
      <c r="L43" s="226"/>
      <c r="M43" s="8">
        <f>Tableau3[[#This Row],[CODE]]</f>
        <v>0</v>
      </c>
      <c r="N43" s="8">
        <f>IFERROR(SEARCH(SAV!$M$6,B43),0)</f>
        <v>0</v>
      </c>
      <c r="O43" s="8" t="str">
        <f>IF(N43=0,"",COUNTIF($N$2:N43,1))</f>
        <v/>
      </c>
      <c r="P43" s="8" t="str">
        <f>IFERROR(INDEX(B:B,MATCH(ROW(O42),O:O,0)),"")</f>
        <v/>
      </c>
    </row>
    <row r="44" spans="2:16">
      <c r="B44" s="7"/>
      <c r="F44" s="4"/>
      <c r="G44" s="5"/>
      <c r="H44" s="6"/>
      <c r="I44" s="226"/>
      <c r="J44" s="226"/>
      <c r="K44" s="226"/>
      <c r="L44" s="226"/>
      <c r="M44" s="8">
        <f>Tableau3[[#This Row],[CODE]]</f>
        <v>0</v>
      </c>
      <c r="N44" s="8">
        <f>IFERROR(SEARCH(SAV!$M$6,B44),0)</f>
        <v>0</v>
      </c>
      <c r="O44" s="8" t="str">
        <f>IF(N44=0,"",COUNTIF($N$2:N44,1))</f>
        <v/>
      </c>
      <c r="P44" s="8" t="str">
        <f>IFERROR(INDEX(B:B,MATCH(ROW(O43),O:O,0)),"")</f>
        <v/>
      </c>
    </row>
    <row r="45" spans="2:16" ht="22.5">
      <c r="B45" s="7"/>
      <c r="F45" s="4"/>
      <c r="G45" s="5"/>
      <c r="H45" s="6"/>
      <c r="I45" s="226"/>
      <c r="J45" s="226"/>
      <c r="K45" s="226"/>
      <c r="L45" s="226"/>
      <c r="M45" s="8">
        <f>Tableau3[[#This Row],[CODE]]</f>
        <v>0</v>
      </c>
      <c r="N45" s="8">
        <f>IFERROR(SEARCH(SAV!$M$6,B45),0)</f>
        <v>0</v>
      </c>
      <c r="O45" s="8" t="str">
        <f>IF(N45=0,"",COUNTIF($N$2:N45,1))</f>
        <v/>
      </c>
      <c r="P45" s="8" t="str">
        <f>IFERROR(INDEX(B:B,MATCH(ROW(O44),O:O,0)),"")</f>
        <v/>
      </c>
    </row>
    <row r="46" spans="2:16" ht="33.75">
      <c r="B46" s="7"/>
      <c r="F46" s="4"/>
      <c r="G46" s="5"/>
      <c r="H46" s="6"/>
      <c r="I46" s="226"/>
      <c r="J46" s="226"/>
      <c r="K46" s="226"/>
      <c r="L46" s="226"/>
      <c r="M46" s="8">
        <f>Tableau3[[#This Row],[CODE]]</f>
        <v>0</v>
      </c>
      <c r="N46" s="8">
        <f>IFERROR(SEARCH(SAV!$M$6,B46),0)</f>
        <v>0</v>
      </c>
      <c r="O46" s="8" t="str">
        <f>IF(N46=0,"",COUNTIF($N$2:N46,1))</f>
        <v/>
      </c>
      <c r="P46" s="8" t="str">
        <f>IFERROR(INDEX(B:B,MATCH(ROW(O45),O:O,0)),"")</f>
        <v/>
      </c>
    </row>
    <row r="47" spans="2:16" ht="33.75">
      <c r="B47" s="7"/>
      <c r="F47" s="4"/>
      <c r="G47" s="5"/>
      <c r="H47" s="6"/>
      <c r="I47" s="226"/>
      <c r="J47" s="226"/>
      <c r="K47" s="226"/>
      <c r="L47" s="226"/>
      <c r="M47" s="8">
        <f>Tableau3[[#This Row],[CODE]]</f>
        <v>0</v>
      </c>
      <c r="N47" s="8">
        <f>IFERROR(SEARCH(SAV!$M$6,B47),0)</f>
        <v>0</v>
      </c>
      <c r="O47" s="8" t="str">
        <f>IF(N47=0,"",COUNTIF($N$2:N47,1))</f>
        <v/>
      </c>
      <c r="P47" s="8" t="str">
        <f>IFERROR(INDEX(B:B,MATCH(ROW(O46),O:O,0)),"")</f>
        <v/>
      </c>
    </row>
    <row r="48" spans="2:16" ht="56.25">
      <c r="B48" s="7"/>
      <c r="F48" s="4"/>
      <c r="G48" s="5"/>
      <c r="H48" s="6"/>
      <c r="I48" s="226"/>
      <c r="J48" s="226"/>
      <c r="K48" s="226"/>
      <c r="L48" s="226"/>
      <c r="M48" s="8">
        <f>Tableau3[[#This Row],[CODE]]</f>
        <v>0</v>
      </c>
      <c r="N48" s="8">
        <f>IFERROR(SEARCH(SAV!$M$6,B48),0)</f>
        <v>0</v>
      </c>
      <c r="O48" s="8" t="str">
        <f>IF(N48=0,"",COUNTIF($N$2:N48,1))</f>
        <v/>
      </c>
      <c r="P48" s="8" t="str">
        <f>IFERROR(INDEX(B:B,MATCH(ROW(O47),O:O,0)),"")</f>
        <v/>
      </c>
    </row>
    <row r="49" spans="2:16">
      <c r="B49" s="7"/>
      <c r="F49" s="4"/>
      <c r="G49" s="5"/>
      <c r="H49" s="6"/>
      <c r="I49" s="226"/>
      <c r="J49" s="226"/>
      <c r="K49" s="226"/>
      <c r="L49" s="226"/>
      <c r="M49" s="8">
        <f>Tableau3[[#This Row],[CODE]]</f>
        <v>0</v>
      </c>
      <c r="N49" s="8">
        <f>IFERROR(SEARCH(SAV!$M$6,B49),0)</f>
        <v>0</v>
      </c>
      <c r="O49" s="8" t="str">
        <f>IF(N49=0,"",COUNTIF($N$2:N49,1))</f>
        <v/>
      </c>
      <c r="P49" s="8" t="str">
        <f>IFERROR(INDEX(B:B,MATCH(ROW(O48),O:O,0)),"")</f>
        <v/>
      </c>
    </row>
    <row r="50" spans="2:16" ht="56.25">
      <c r="B50" s="7"/>
      <c r="F50" s="4"/>
      <c r="G50" s="5"/>
      <c r="H50" s="6"/>
      <c r="I50" s="226"/>
      <c r="J50" s="226"/>
      <c r="K50" s="226"/>
      <c r="L50" s="226"/>
      <c r="M50" s="8">
        <f>Tableau3[[#This Row],[CODE]]</f>
        <v>0</v>
      </c>
      <c r="N50" s="8">
        <f>IFERROR(SEARCH(SAV!$M$6,B50),0)</f>
        <v>0</v>
      </c>
      <c r="O50" s="8" t="str">
        <f>IF(N50=0,"",COUNTIF($N$2:N50,1))</f>
        <v/>
      </c>
      <c r="P50" s="8" t="str">
        <f>IFERROR(INDEX(B:B,MATCH(ROW(O49),O:O,0)),"")</f>
        <v/>
      </c>
    </row>
    <row r="51" spans="2:16" ht="56.25">
      <c r="B51" s="7"/>
      <c r="F51" s="4"/>
      <c r="G51" s="5"/>
      <c r="H51" s="6"/>
      <c r="I51" s="226"/>
      <c r="J51" s="226"/>
      <c r="K51" s="226"/>
      <c r="L51" s="226"/>
      <c r="M51" s="8">
        <f>Tableau3[[#This Row],[CODE]]</f>
        <v>0</v>
      </c>
      <c r="N51" s="8">
        <f>IFERROR(SEARCH(SAV!$M$6,B51),0)</f>
        <v>0</v>
      </c>
      <c r="O51" s="8" t="str">
        <f>IF(N51=0,"",COUNTIF($N$2:N51,1))</f>
        <v/>
      </c>
      <c r="P51" s="8" t="str">
        <f>IFERROR(INDEX(B:B,MATCH(ROW(O50),O:O,0)),"")</f>
        <v/>
      </c>
    </row>
    <row r="52" spans="2:16" ht="90">
      <c r="B52" s="7"/>
      <c r="F52" s="4"/>
      <c r="G52" s="5"/>
      <c r="H52" s="6"/>
      <c r="I52" s="226"/>
      <c r="J52" s="226"/>
      <c r="K52" s="226"/>
      <c r="L52" s="226"/>
      <c r="M52" s="8">
        <f>Tableau3[[#This Row],[CODE]]</f>
        <v>0</v>
      </c>
      <c r="N52" s="8">
        <f>IFERROR(SEARCH(SAV!$M$6,B52),0)</f>
        <v>0</v>
      </c>
      <c r="O52" s="8" t="str">
        <f>IF(N52=0,"",COUNTIF($N$2:N52,1))</f>
        <v/>
      </c>
      <c r="P52" s="8" t="str">
        <f>IFERROR(INDEX(B:B,MATCH(ROW(O51),O:O,0)),"")</f>
        <v/>
      </c>
    </row>
    <row r="53" spans="2:16" ht="90">
      <c r="B53" s="7"/>
      <c r="F53" s="4"/>
      <c r="G53" s="5"/>
      <c r="H53" s="6"/>
      <c r="I53" s="226"/>
      <c r="J53" s="226"/>
      <c r="K53" s="226"/>
      <c r="L53" s="226"/>
      <c r="M53" s="8">
        <f>Tableau3[[#This Row],[CODE]]</f>
        <v>0</v>
      </c>
      <c r="N53" s="8">
        <f>IFERROR(SEARCH(SAV!$M$6,B53),0)</f>
        <v>0</v>
      </c>
      <c r="O53" s="8" t="str">
        <f>IF(N53=0,"",COUNTIF($N$2:N53,1))</f>
        <v/>
      </c>
      <c r="P53" s="8" t="str">
        <f>IFERROR(INDEX(B:B,MATCH(ROW(O52),O:O,0)),"")</f>
        <v/>
      </c>
    </row>
    <row r="54" spans="2:16" ht="33.75">
      <c r="B54" s="7"/>
      <c r="F54" s="4"/>
      <c r="G54" s="5"/>
      <c r="H54" s="6"/>
      <c r="I54" s="226"/>
      <c r="J54" s="226"/>
      <c r="K54" s="226"/>
      <c r="L54" s="226"/>
      <c r="M54" s="8">
        <f>Tableau3[[#This Row],[CODE]]</f>
        <v>0</v>
      </c>
      <c r="N54" s="8">
        <f>IFERROR(SEARCH(SAV!$M$6,B54),0)</f>
        <v>0</v>
      </c>
      <c r="O54" s="8" t="str">
        <f>IF(N54=0,"",COUNTIF($N$2:N54,1))</f>
        <v/>
      </c>
      <c r="P54" s="8" t="str">
        <f>IFERROR(INDEX(B:B,MATCH(ROW(O53),O:O,0)),"")</f>
        <v/>
      </c>
    </row>
    <row r="55" spans="2:16" ht="33.75">
      <c r="B55" s="7"/>
      <c r="F55" s="4"/>
      <c r="G55" s="5"/>
      <c r="H55" s="6"/>
      <c r="I55" s="226"/>
      <c r="J55" s="226"/>
      <c r="K55" s="226"/>
      <c r="L55" s="226"/>
      <c r="M55" s="8">
        <f>Tableau3[[#This Row],[CODE]]</f>
        <v>0</v>
      </c>
      <c r="N55" s="8">
        <f>IFERROR(SEARCH(SAV!$M$6,B55),0)</f>
        <v>0</v>
      </c>
      <c r="O55" s="8" t="str">
        <f>IF(N55=0,"",COUNTIF($N$2:N55,1))</f>
        <v/>
      </c>
      <c r="P55" s="8" t="str">
        <f>IFERROR(INDEX(B:B,MATCH(ROW(O54),O:O,0)),"")</f>
        <v/>
      </c>
    </row>
    <row r="56" spans="2:16" ht="45">
      <c r="B56" s="7"/>
      <c r="F56" s="4"/>
      <c r="G56" s="5"/>
      <c r="H56" s="6"/>
      <c r="I56" s="226"/>
      <c r="J56" s="226"/>
      <c r="K56" s="226"/>
      <c r="L56" s="226"/>
      <c r="M56" s="8">
        <f>Tableau3[[#This Row],[CODE]]</f>
        <v>0</v>
      </c>
      <c r="N56" s="8">
        <f>IFERROR(SEARCH(SAV!$M$6,B56),0)</f>
        <v>0</v>
      </c>
      <c r="O56" s="8" t="str">
        <f>IF(N56=0,"",COUNTIF($N$2:N56,1))</f>
        <v/>
      </c>
      <c r="P56" s="8" t="str">
        <f>IFERROR(INDEX(B:B,MATCH(ROW(O55),O:O,0)),"")</f>
        <v/>
      </c>
    </row>
    <row r="57" spans="2:16">
      <c r="B57" s="7"/>
      <c r="F57" s="4"/>
      <c r="G57" s="5"/>
      <c r="H57" s="6"/>
      <c r="I57" s="226"/>
      <c r="J57" s="226"/>
      <c r="K57" s="226"/>
      <c r="L57" s="226"/>
      <c r="M57" s="8">
        <f>Tableau3[[#This Row],[CODE]]</f>
        <v>0</v>
      </c>
      <c r="N57" s="8">
        <f>IFERROR(SEARCH(SAV!$M$6,B57),0)</f>
        <v>0</v>
      </c>
      <c r="O57" s="8" t="str">
        <f>IF(N57=0,"",COUNTIF($N$2:N57,1))</f>
        <v/>
      </c>
      <c r="P57" s="8" t="str">
        <f>IFERROR(INDEX(B:B,MATCH(ROW(O56),O:O,0)),"")</f>
        <v/>
      </c>
    </row>
    <row r="58" spans="2:16" ht="67.5">
      <c r="B58" s="7"/>
      <c r="F58" s="4"/>
      <c r="G58" s="5"/>
      <c r="H58" s="6"/>
      <c r="I58" s="226"/>
      <c r="J58" s="226"/>
      <c r="K58" s="226"/>
      <c r="L58" s="226"/>
      <c r="M58" s="8">
        <f>Tableau3[[#This Row],[CODE]]</f>
        <v>0</v>
      </c>
      <c r="N58" s="8">
        <f>IFERROR(SEARCH(SAV!$M$6,B58),0)</f>
        <v>0</v>
      </c>
      <c r="O58" s="8" t="str">
        <f>IF(N58=0,"",COUNTIF($N$2:N58,1))</f>
        <v/>
      </c>
      <c r="P58" s="8" t="str">
        <f>IFERROR(INDEX(B:B,MATCH(ROW(O57),O:O,0)),"")</f>
        <v/>
      </c>
    </row>
    <row r="59" spans="2:16" ht="56.25">
      <c r="B59" s="7"/>
      <c r="F59" s="4"/>
      <c r="G59" s="5"/>
      <c r="H59" s="6"/>
      <c r="I59" s="226"/>
      <c r="J59" s="226"/>
      <c r="K59" s="226"/>
      <c r="L59" s="226"/>
      <c r="M59" s="8">
        <f>Tableau3[[#This Row],[CODE]]</f>
        <v>0</v>
      </c>
      <c r="N59" s="8">
        <f>IFERROR(SEARCH(SAV!$M$6,B59),0)</f>
        <v>0</v>
      </c>
      <c r="O59" s="8" t="str">
        <f>IF(N59=0,"",COUNTIF($N$2:N59,1))</f>
        <v/>
      </c>
      <c r="P59" s="8" t="str">
        <f>IFERROR(INDEX(B:B,MATCH(ROW(O58),O:O,0)),"")</f>
        <v/>
      </c>
    </row>
    <row r="60" spans="2:16" ht="22.5">
      <c r="B60" s="7"/>
      <c r="F60" s="4"/>
      <c r="G60" s="5"/>
      <c r="H60" s="6"/>
      <c r="I60" s="226"/>
      <c r="J60" s="226"/>
      <c r="K60" s="226"/>
      <c r="L60" s="226"/>
      <c r="M60" s="8">
        <f>Tableau3[[#This Row],[CODE]]</f>
        <v>0</v>
      </c>
      <c r="N60" s="8">
        <f>IFERROR(SEARCH(SAV!$M$6,B60),0)</f>
        <v>0</v>
      </c>
      <c r="O60" s="8" t="str">
        <f>IF(N60=0,"",COUNTIF($N$2:N60,1))</f>
        <v/>
      </c>
      <c r="P60" s="8" t="str">
        <f>IFERROR(INDEX(B:B,MATCH(ROW(O59),O:O,0)),"")</f>
        <v/>
      </c>
    </row>
    <row r="61" spans="2:16" ht="22.5">
      <c r="B61" s="7"/>
      <c r="F61" s="4"/>
      <c r="G61" s="5"/>
      <c r="H61" s="6"/>
      <c r="I61" s="226"/>
      <c r="J61" s="226"/>
      <c r="K61" s="226"/>
      <c r="L61" s="226"/>
      <c r="M61" s="8">
        <f>Tableau3[[#This Row],[CODE]]</f>
        <v>0</v>
      </c>
      <c r="N61" s="8">
        <f>IFERROR(SEARCH(SAV!$M$6,B61),0)</f>
        <v>0</v>
      </c>
      <c r="O61" s="8" t="str">
        <f>IF(N61=0,"",COUNTIF($N$2:N61,1))</f>
        <v/>
      </c>
      <c r="P61" s="8" t="str">
        <f>IFERROR(INDEX(B:B,MATCH(ROW(O60),O:O,0)),"")</f>
        <v/>
      </c>
    </row>
    <row r="62" spans="2:16" ht="22.5">
      <c r="B62" s="7"/>
      <c r="F62" s="4"/>
      <c r="G62" s="5"/>
      <c r="H62" s="6"/>
      <c r="I62" s="226"/>
      <c r="J62" s="226"/>
      <c r="K62" s="226"/>
      <c r="L62" s="226"/>
      <c r="M62" s="8">
        <f>Tableau3[[#This Row],[CODE]]</f>
        <v>0</v>
      </c>
      <c r="N62" s="8">
        <f>IFERROR(SEARCH(SAV!$M$6,B62),0)</f>
        <v>0</v>
      </c>
      <c r="O62" s="8" t="str">
        <f>IF(N62=0,"",COUNTIF($N$2:N62,1))</f>
        <v/>
      </c>
      <c r="P62" s="8" t="str">
        <f>IFERROR(INDEX(B:B,MATCH(ROW(O61),O:O,0)),"")</f>
        <v/>
      </c>
    </row>
    <row r="63" spans="2:16" ht="101.25">
      <c r="B63" s="7"/>
      <c r="F63" s="4"/>
      <c r="G63" s="5"/>
      <c r="H63" s="6"/>
      <c r="I63" s="226"/>
      <c r="J63" s="226"/>
      <c r="K63" s="226"/>
      <c r="L63" s="226"/>
      <c r="M63" s="8">
        <f>Tableau3[[#This Row],[CODE]]</f>
        <v>0</v>
      </c>
      <c r="N63" s="8">
        <f>IFERROR(SEARCH(SAV!$M$6,B63),0)</f>
        <v>0</v>
      </c>
      <c r="O63" s="8" t="str">
        <f>IF(N63=0,"",COUNTIF($N$2:N63,1))</f>
        <v/>
      </c>
      <c r="P63" s="8" t="str">
        <f>IFERROR(INDEX(B:B,MATCH(ROW(O62),O:O,0)),"")</f>
        <v/>
      </c>
    </row>
    <row r="64" spans="2:16" ht="33.75">
      <c r="B64" s="7"/>
      <c r="F64" s="4"/>
      <c r="G64" s="5"/>
      <c r="H64" s="6"/>
      <c r="I64" s="226"/>
      <c r="J64" s="226"/>
      <c r="K64" s="226"/>
      <c r="L64" s="226"/>
      <c r="M64" s="8">
        <f>Tableau3[[#This Row],[CODE]]</f>
        <v>0</v>
      </c>
      <c r="N64" s="8">
        <f>IFERROR(SEARCH(SAV!$M$6,B64),0)</f>
        <v>0</v>
      </c>
      <c r="O64" s="8" t="str">
        <f>IF(N64=0,"",COUNTIF($N$2:N64,1))</f>
        <v/>
      </c>
      <c r="P64" s="8" t="str">
        <f>IFERROR(INDEX(B:B,MATCH(ROW(O63),O:O,0)),"")</f>
        <v/>
      </c>
    </row>
    <row r="65" spans="2:16" ht="22.5">
      <c r="B65" s="7"/>
      <c r="F65" s="4"/>
      <c r="G65" s="5"/>
      <c r="H65" s="6"/>
      <c r="I65" s="226"/>
      <c r="J65" s="226"/>
      <c r="K65" s="226"/>
      <c r="L65" s="226"/>
      <c r="M65" s="8">
        <f>Tableau3[[#This Row],[CODE]]</f>
        <v>0</v>
      </c>
      <c r="N65" s="8">
        <f>IFERROR(SEARCH(SAV!$M$6,B65),0)</f>
        <v>0</v>
      </c>
      <c r="O65" s="8" t="str">
        <f>IF(N65=0,"",COUNTIF($N$2:N65,1))</f>
        <v/>
      </c>
      <c r="P65" s="8" t="str">
        <f>IFERROR(INDEX(B:B,MATCH(ROW(O64),O:O,0)),"")</f>
        <v/>
      </c>
    </row>
    <row r="66" spans="2:16" ht="33.75">
      <c r="B66" s="7"/>
      <c r="F66" s="4"/>
      <c r="G66" s="5"/>
      <c r="H66" s="6"/>
      <c r="I66" s="226"/>
      <c r="J66" s="226"/>
      <c r="K66" s="226"/>
      <c r="L66" s="226"/>
      <c r="M66" s="8">
        <f>Tableau3[[#This Row],[CODE]]</f>
        <v>0</v>
      </c>
      <c r="N66" s="8">
        <f>IFERROR(SEARCH(SAV!$M$6,B66),0)</f>
        <v>0</v>
      </c>
      <c r="O66" s="8" t="str">
        <f>IF(N66=0,"",COUNTIF($N$2:N66,1))</f>
        <v/>
      </c>
      <c r="P66" s="8" t="str">
        <f>IFERROR(INDEX(B:B,MATCH(ROW(O65),O:O,0)),"")</f>
        <v/>
      </c>
    </row>
    <row r="67" spans="2:16" ht="33.75">
      <c r="B67" s="7"/>
      <c r="F67" s="4"/>
      <c r="G67" s="5"/>
      <c r="H67" s="6"/>
      <c r="I67" s="226"/>
      <c r="J67" s="226"/>
      <c r="K67" s="226"/>
      <c r="L67" s="226"/>
      <c r="M67" s="8">
        <f>Tableau3[[#This Row],[CODE]]</f>
        <v>0</v>
      </c>
      <c r="N67" s="8">
        <f>IFERROR(SEARCH(SAV!$M$6,B67),0)</f>
        <v>0</v>
      </c>
      <c r="O67" s="8" t="str">
        <f>IF(N67=0,"",COUNTIF($N$2:N67,1))</f>
        <v/>
      </c>
      <c r="P67" s="8" t="str">
        <f>IFERROR(INDEX(B:B,MATCH(ROW(O66),O:O,0)),"")</f>
        <v/>
      </c>
    </row>
    <row r="68" spans="2:16" ht="33.75">
      <c r="B68" s="7"/>
      <c r="F68" s="4"/>
      <c r="G68" s="5"/>
      <c r="H68" s="6"/>
      <c r="I68" s="226"/>
      <c r="J68" s="226"/>
      <c r="K68" s="226"/>
      <c r="L68" s="226"/>
      <c r="M68" s="8">
        <f>Tableau3[[#This Row],[CODE]]</f>
        <v>0</v>
      </c>
      <c r="N68" s="8">
        <f>IFERROR(SEARCH(SAV!$M$6,B68),0)</f>
        <v>0</v>
      </c>
      <c r="O68" s="8" t="str">
        <f>IF(N68=0,"",COUNTIF($N$2:N68,1))</f>
        <v/>
      </c>
      <c r="P68" s="8" t="str">
        <f>IFERROR(INDEX(B:B,MATCH(ROW(O67),O:O,0)),"")</f>
        <v/>
      </c>
    </row>
    <row r="69" spans="2:16" ht="33.75">
      <c r="B69" s="7"/>
      <c r="F69" s="4"/>
      <c r="G69" s="5"/>
      <c r="H69" s="6"/>
      <c r="I69" s="226"/>
      <c r="J69" s="226"/>
      <c r="K69" s="226"/>
      <c r="L69" s="226"/>
      <c r="M69" s="8">
        <f>Tableau3[[#This Row],[CODE]]</f>
        <v>0</v>
      </c>
      <c r="N69" s="8">
        <f>IFERROR(SEARCH(SAV!$M$6,B69),0)</f>
        <v>0</v>
      </c>
      <c r="O69" s="8" t="str">
        <f>IF(N69=0,"",COUNTIF($N$2:N69,1))</f>
        <v/>
      </c>
      <c r="P69" s="8" t="str">
        <f>IFERROR(INDEX(B:B,MATCH(ROW(O68),O:O,0)),"")</f>
        <v/>
      </c>
    </row>
    <row r="70" spans="2:16" ht="56.25">
      <c r="B70" s="7"/>
      <c r="F70" s="4"/>
      <c r="G70" s="5"/>
      <c r="H70" s="6"/>
      <c r="I70" s="226"/>
      <c r="J70" s="226"/>
      <c r="K70" s="226"/>
      <c r="L70" s="226"/>
      <c r="M70" s="8">
        <f>Tableau3[[#This Row],[CODE]]</f>
        <v>0</v>
      </c>
      <c r="N70" s="8">
        <f>IFERROR(SEARCH(SAV!$M$6,B70),0)</f>
        <v>0</v>
      </c>
      <c r="O70" s="8" t="str">
        <f>IF(N70=0,"",COUNTIF($N$2:N70,1))</f>
        <v/>
      </c>
      <c r="P70" s="8" t="str">
        <f>IFERROR(INDEX(B:B,MATCH(ROW(O69),O:O,0)),"")</f>
        <v/>
      </c>
    </row>
    <row r="71" spans="2:16" ht="56.25">
      <c r="B71" s="7"/>
      <c r="F71" s="4"/>
      <c r="G71" s="5"/>
      <c r="H71" s="6"/>
      <c r="I71" s="226"/>
      <c r="J71" s="226"/>
      <c r="K71" s="226"/>
      <c r="L71" s="226"/>
      <c r="M71" s="8">
        <f>Tableau3[[#This Row],[CODE]]</f>
        <v>0</v>
      </c>
      <c r="N71" s="8">
        <f>IFERROR(SEARCH(SAV!$M$6,B71),0)</f>
        <v>0</v>
      </c>
      <c r="O71" s="8" t="str">
        <f>IF(N71=0,"",COUNTIF($N$2:N71,1))</f>
        <v/>
      </c>
      <c r="P71" s="8" t="str">
        <f>IFERROR(INDEX(B:B,MATCH(ROW(O70),O:O,0)),"")</f>
        <v/>
      </c>
    </row>
    <row r="72" spans="2:16" ht="56.25">
      <c r="B72" s="7"/>
      <c r="F72" s="4"/>
      <c r="G72" s="5"/>
      <c r="H72" s="6"/>
      <c r="I72" s="226"/>
      <c r="J72" s="226"/>
      <c r="K72" s="226"/>
      <c r="L72" s="226"/>
      <c r="M72" s="8">
        <f>Tableau3[[#This Row],[CODE]]</f>
        <v>0</v>
      </c>
      <c r="N72" s="8">
        <f>IFERROR(SEARCH(SAV!$M$6,B72),0)</f>
        <v>0</v>
      </c>
      <c r="O72" s="8" t="str">
        <f>IF(N72=0,"",COUNTIF($N$2:N72,1))</f>
        <v/>
      </c>
      <c r="P72" s="8" t="str">
        <f>IFERROR(INDEX(B:B,MATCH(ROW(O71),O:O,0)),"")</f>
        <v/>
      </c>
    </row>
    <row r="73" spans="2:16" ht="22.5">
      <c r="B73" s="7"/>
      <c r="F73" s="4"/>
      <c r="G73" s="5"/>
      <c r="H73" s="6"/>
      <c r="I73" s="226"/>
      <c r="J73" s="226"/>
      <c r="K73" s="226"/>
      <c r="L73" s="226"/>
      <c r="M73" s="8">
        <f>Tableau3[[#This Row],[CODE]]</f>
        <v>0</v>
      </c>
      <c r="N73" s="8">
        <f>IFERROR(SEARCH(SAV!$M$6,B73),0)</f>
        <v>0</v>
      </c>
      <c r="O73" s="8" t="str">
        <f>IF(N73=0,"",COUNTIF($N$2:N73,1))</f>
        <v/>
      </c>
      <c r="P73" s="8" t="str">
        <f>IFERROR(INDEX(B:B,MATCH(ROW(O72),O:O,0)),"")</f>
        <v/>
      </c>
    </row>
    <row r="74" spans="2:16" ht="33.75">
      <c r="B74" s="7"/>
      <c r="F74" s="4"/>
      <c r="G74" s="5"/>
      <c r="H74" s="6"/>
      <c r="I74" s="226"/>
      <c r="J74" s="226"/>
      <c r="K74" s="226"/>
      <c r="L74" s="226"/>
      <c r="M74" s="8">
        <f>Tableau3[[#This Row],[CODE]]</f>
        <v>0</v>
      </c>
      <c r="N74" s="8">
        <f>IFERROR(SEARCH(SAV!$M$6,B74),0)</f>
        <v>0</v>
      </c>
      <c r="O74" s="8" t="str">
        <f>IF(N74=0,"",COUNTIF($N$2:N74,1))</f>
        <v/>
      </c>
      <c r="P74" s="8" t="str">
        <f>IFERROR(INDEX(B:B,MATCH(ROW(O73),O:O,0)),"")</f>
        <v/>
      </c>
    </row>
    <row r="75" spans="2:16" ht="33.75">
      <c r="B75" s="7"/>
      <c r="F75" s="4"/>
      <c r="G75" s="5"/>
      <c r="H75" s="6"/>
      <c r="I75" s="226"/>
      <c r="J75" s="226"/>
      <c r="K75" s="226"/>
      <c r="L75" s="226"/>
      <c r="M75" s="8">
        <f>Tableau3[[#This Row],[CODE]]</f>
        <v>0</v>
      </c>
      <c r="N75" s="8">
        <f>IFERROR(SEARCH(SAV!$M$6,B75),0)</f>
        <v>0</v>
      </c>
      <c r="O75" s="8" t="str">
        <f>IF(N75=0,"",COUNTIF($N$2:N75,1))</f>
        <v/>
      </c>
      <c r="P75" s="8" t="str">
        <f>IFERROR(INDEX(B:B,MATCH(ROW(O74),O:O,0)),"")</f>
        <v/>
      </c>
    </row>
    <row r="76" spans="2:16" ht="56.25">
      <c r="B76" s="7"/>
      <c r="F76" s="4"/>
      <c r="G76" s="5"/>
      <c r="H76" s="6"/>
      <c r="I76" s="226"/>
      <c r="J76" s="226"/>
      <c r="K76" s="226"/>
      <c r="L76" s="226"/>
      <c r="M76" s="8">
        <f>Tableau3[[#This Row],[CODE]]</f>
        <v>0</v>
      </c>
      <c r="N76" s="8">
        <f>IFERROR(SEARCH(SAV!$M$6,B76),0)</f>
        <v>0</v>
      </c>
      <c r="O76" s="8" t="str">
        <f>IF(N76=0,"",COUNTIF($N$2:N76,1))</f>
        <v/>
      </c>
      <c r="P76" s="8" t="str">
        <f>IFERROR(INDEX(B:B,MATCH(ROW(O75),O:O,0)),"")</f>
        <v/>
      </c>
    </row>
    <row r="77" spans="2:16" ht="22.5">
      <c r="B77" s="7"/>
      <c r="F77" s="4"/>
      <c r="G77" s="5"/>
      <c r="H77" s="6"/>
      <c r="I77" s="226"/>
      <c r="J77" s="226"/>
      <c r="K77" s="226"/>
      <c r="L77" s="226"/>
      <c r="M77" s="8">
        <f>Tableau3[[#This Row],[CODE]]</f>
        <v>0</v>
      </c>
      <c r="N77" s="8">
        <f>IFERROR(SEARCH(SAV!$M$6,B77),0)</f>
        <v>0</v>
      </c>
      <c r="O77" s="8" t="str">
        <f>IF(N77=0,"",COUNTIF($N$2:N77,1))</f>
        <v/>
      </c>
      <c r="P77" s="8" t="str">
        <f>IFERROR(INDEX(B:B,MATCH(ROW(O76),O:O,0)),"")</f>
        <v/>
      </c>
    </row>
    <row r="78" spans="2:16" ht="56.25">
      <c r="B78" s="7"/>
      <c r="F78" s="4"/>
      <c r="G78" s="5"/>
      <c r="H78" s="6"/>
      <c r="I78" s="226"/>
      <c r="J78" s="226"/>
      <c r="K78" s="226"/>
      <c r="L78" s="226"/>
      <c r="M78" s="8">
        <f>Tableau3[[#This Row],[CODE]]</f>
        <v>0</v>
      </c>
      <c r="N78" s="8">
        <f>IFERROR(SEARCH(SAV!$M$6,B78),0)</f>
        <v>0</v>
      </c>
      <c r="O78" s="8" t="str">
        <f>IF(N78=0,"",COUNTIF($N$2:N78,1))</f>
        <v/>
      </c>
      <c r="P78" s="8" t="str">
        <f>IFERROR(INDEX(B:B,MATCH(ROW(O77),O:O,0)),"")</f>
        <v/>
      </c>
    </row>
    <row r="79" spans="2:16" ht="67.5">
      <c r="B79" s="7"/>
      <c r="F79" s="4"/>
      <c r="G79" s="5"/>
      <c r="H79" s="6"/>
      <c r="I79" s="226"/>
      <c r="J79" s="226"/>
      <c r="K79" s="226"/>
      <c r="L79" s="226"/>
      <c r="M79" s="8">
        <f>Tableau3[[#This Row],[CODE]]</f>
        <v>0</v>
      </c>
      <c r="N79" s="8">
        <f>IFERROR(SEARCH(SAV!$M$6,B79),0)</f>
        <v>0</v>
      </c>
      <c r="O79" s="8" t="str">
        <f>IF(N79=0,"",COUNTIF($N$2:N79,1))</f>
        <v/>
      </c>
      <c r="P79" s="8" t="str">
        <f>IFERROR(INDEX(B:B,MATCH(ROW(O78),O:O,0)),"")</f>
        <v/>
      </c>
    </row>
    <row r="80" spans="2:16" ht="22.5">
      <c r="B80" s="7"/>
      <c r="F80" s="4"/>
      <c r="G80" s="5"/>
      <c r="H80" s="6"/>
      <c r="I80" s="226"/>
      <c r="J80" s="226"/>
      <c r="K80" s="226"/>
      <c r="L80" s="226"/>
      <c r="M80" s="8">
        <f>Tableau3[[#This Row],[CODE]]</f>
        <v>0</v>
      </c>
      <c r="N80" s="8">
        <f>IFERROR(SEARCH(SAV!$M$6,B80),0)</f>
        <v>0</v>
      </c>
      <c r="O80" s="8" t="str">
        <f>IF(N80=0,"",COUNTIF($N$2:N80,1))</f>
        <v/>
      </c>
      <c r="P80" s="8" t="str">
        <f>IFERROR(INDEX(B:B,MATCH(ROW(O79),O:O,0)),"")</f>
        <v/>
      </c>
    </row>
    <row r="81" spans="2:16" ht="22.5">
      <c r="B81" s="7"/>
      <c r="F81" s="4"/>
      <c r="G81" s="5"/>
      <c r="H81" s="6"/>
      <c r="I81" s="226"/>
      <c r="J81" s="226"/>
      <c r="K81" s="226"/>
      <c r="L81" s="226"/>
      <c r="M81" s="8">
        <f>Tableau3[[#This Row],[CODE]]</f>
        <v>0</v>
      </c>
      <c r="N81" s="8">
        <f>IFERROR(SEARCH(SAV!$M$6,B81),0)</f>
        <v>0</v>
      </c>
      <c r="O81" s="8" t="str">
        <f>IF(N81=0,"",COUNTIF($N$2:N81,1))</f>
        <v/>
      </c>
      <c r="P81" s="8" t="str">
        <f>IFERROR(INDEX(B:B,MATCH(ROW(O80),O:O,0)),"")</f>
        <v/>
      </c>
    </row>
    <row r="82" spans="2:16" ht="45">
      <c r="B82" s="7"/>
      <c r="F82" s="4"/>
      <c r="G82" s="5"/>
      <c r="H82" s="6"/>
      <c r="I82" s="226"/>
      <c r="J82" s="226"/>
      <c r="K82" s="226"/>
      <c r="L82" s="226"/>
      <c r="M82" s="8">
        <f>Tableau3[[#This Row],[CODE]]</f>
        <v>0</v>
      </c>
      <c r="N82" s="8">
        <f>IFERROR(SEARCH(SAV!$M$6,B82),0)</f>
        <v>0</v>
      </c>
      <c r="O82" s="8" t="str">
        <f>IF(N82=0,"",COUNTIF($N$2:N82,1))</f>
        <v/>
      </c>
      <c r="P82" s="8" t="str">
        <f>IFERROR(INDEX(B:B,MATCH(ROW(O81),O:O,0)),"")</f>
        <v/>
      </c>
    </row>
    <row r="83" spans="2:16" ht="56.25">
      <c r="B83" s="7"/>
      <c r="F83" s="4"/>
      <c r="G83" s="5"/>
      <c r="H83" s="6"/>
      <c r="I83" s="226"/>
      <c r="J83" s="226"/>
      <c r="K83" s="226"/>
      <c r="L83" s="226"/>
      <c r="M83" s="8">
        <f>Tableau3[[#This Row],[CODE]]</f>
        <v>0</v>
      </c>
      <c r="N83" s="8">
        <f>IFERROR(SEARCH(SAV!$M$6,B83),0)</f>
        <v>0</v>
      </c>
      <c r="O83" s="8" t="str">
        <f>IF(N83=0,"",COUNTIF($N$2:N83,1))</f>
        <v/>
      </c>
      <c r="P83" s="8" t="str">
        <f>IFERROR(INDEX(B:B,MATCH(ROW(O82),O:O,0)),"")</f>
        <v/>
      </c>
    </row>
    <row r="84" spans="2:16" ht="22.5">
      <c r="B84" s="7"/>
      <c r="F84" s="4"/>
      <c r="G84" s="5"/>
      <c r="H84" s="6"/>
      <c r="I84" s="226"/>
      <c r="J84" s="226"/>
      <c r="K84" s="226"/>
      <c r="L84" s="226"/>
      <c r="M84" s="8">
        <f>Tableau3[[#This Row],[CODE]]</f>
        <v>0</v>
      </c>
      <c r="N84" s="8">
        <f>IFERROR(SEARCH(SAV!$M$6,B84),0)</f>
        <v>0</v>
      </c>
      <c r="O84" s="8" t="str">
        <f>IF(N84=0,"",COUNTIF($N$2:N84,1))</f>
        <v/>
      </c>
      <c r="P84" s="8" t="str">
        <f>IFERROR(INDEX(B:B,MATCH(ROW(O83),O:O,0)),"")</f>
        <v/>
      </c>
    </row>
    <row r="85" spans="2:16" ht="33.75">
      <c r="B85" s="7"/>
      <c r="F85" s="4"/>
      <c r="G85" s="5"/>
      <c r="H85" s="6"/>
      <c r="I85" s="226"/>
      <c r="J85" s="226"/>
      <c r="K85" s="226"/>
      <c r="L85" s="226"/>
      <c r="M85" s="8">
        <f>Tableau3[[#This Row],[CODE]]</f>
        <v>0</v>
      </c>
      <c r="N85" s="8">
        <f>IFERROR(SEARCH(SAV!$M$6,B85),0)</f>
        <v>0</v>
      </c>
      <c r="O85" s="8" t="str">
        <f>IF(N85=0,"",COUNTIF($N$2:N85,1))</f>
        <v/>
      </c>
      <c r="P85" s="8" t="str">
        <f>IFERROR(INDEX(B:B,MATCH(ROW(O84),O:O,0)),"")</f>
        <v/>
      </c>
    </row>
    <row r="86" spans="2:16">
      <c r="B86" s="7"/>
      <c r="F86" s="4"/>
      <c r="G86" s="5"/>
      <c r="H86" s="6"/>
      <c r="I86" s="226"/>
      <c r="J86" s="226"/>
      <c r="K86" s="226"/>
      <c r="L86" s="226"/>
      <c r="M86" s="8">
        <f>Tableau3[[#This Row],[CODE]]</f>
        <v>0</v>
      </c>
      <c r="N86" s="8">
        <f>IFERROR(SEARCH(SAV!$M$6,B86),0)</f>
        <v>0</v>
      </c>
      <c r="O86" s="8" t="str">
        <f>IF(N86=0,"",COUNTIF($N$2:N86,1))</f>
        <v/>
      </c>
      <c r="P86" s="8" t="str">
        <f>IFERROR(INDEX(B:B,MATCH(ROW(O85),O:O,0)),"")</f>
        <v/>
      </c>
    </row>
    <row r="87" spans="2:16">
      <c r="B87" s="7"/>
      <c r="F87" s="4"/>
      <c r="G87" s="5"/>
      <c r="H87" s="6"/>
      <c r="I87" s="226"/>
      <c r="J87" s="226"/>
      <c r="K87" s="226"/>
      <c r="L87" s="226"/>
      <c r="M87" s="8">
        <f>Tableau3[[#This Row],[CODE]]</f>
        <v>0</v>
      </c>
      <c r="N87" s="8">
        <f>IFERROR(SEARCH(SAV!$M$6,B87),0)</f>
        <v>0</v>
      </c>
      <c r="O87" s="8" t="str">
        <f>IF(N87=0,"",COUNTIF($N$2:N87,1))</f>
        <v/>
      </c>
      <c r="P87" s="8" t="str">
        <f>IFERROR(INDEX(B:B,MATCH(ROW(O86),O:O,0)),"")</f>
        <v/>
      </c>
    </row>
    <row r="88" spans="2:16" ht="56.25">
      <c r="B88" s="7"/>
      <c r="F88" s="4"/>
      <c r="G88" s="5"/>
      <c r="H88" s="6"/>
      <c r="I88" s="226"/>
      <c r="J88" s="226"/>
      <c r="K88" s="226"/>
      <c r="L88" s="226"/>
      <c r="M88" s="8">
        <f>Tableau3[[#This Row],[CODE]]</f>
        <v>0</v>
      </c>
      <c r="N88" s="8">
        <f>IFERROR(SEARCH(SAV!$M$6,B88),0)</f>
        <v>0</v>
      </c>
      <c r="O88" s="8" t="str">
        <f>IF(N88=0,"",COUNTIF($N$2:N88,1))</f>
        <v/>
      </c>
      <c r="P88" s="8" t="str">
        <f>IFERROR(INDEX(B:B,MATCH(ROW(O87),O:O,0)),"")</f>
        <v/>
      </c>
    </row>
    <row r="89" spans="2:16" ht="56.25">
      <c r="B89" s="7"/>
      <c r="F89" s="4"/>
      <c r="G89" s="5"/>
      <c r="H89" s="6"/>
      <c r="I89" s="226"/>
      <c r="J89" s="226"/>
      <c r="K89" s="226"/>
      <c r="L89" s="226"/>
      <c r="M89" s="8">
        <f>Tableau3[[#This Row],[CODE]]</f>
        <v>0</v>
      </c>
      <c r="N89" s="8">
        <f>IFERROR(SEARCH(SAV!$M$6,B89),0)</f>
        <v>0</v>
      </c>
      <c r="O89" s="8" t="str">
        <f>IF(N89=0,"",COUNTIF($N$2:N89,1))</f>
        <v/>
      </c>
      <c r="P89" s="8" t="str">
        <f>IFERROR(INDEX(B:B,MATCH(ROW(O88),O:O,0)),"")</f>
        <v/>
      </c>
    </row>
    <row r="90" spans="2:16">
      <c r="B90" s="7"/>
      <c r="F90" s="4"/>
      <c r="G90" s="5"/>
      <c r="H90" s="6"/>
      <c r="I90" s="226"/>
      <c r="J90" s="226"/>
      <c r="K90" s="226"/>
      <c r="L90" s="226"/>
      <c r="M90" s="8">
        <f>Tableau3[[#This Row],[CODE]]</f>
        <v>0</v>
      </c>
      <c r="N90" s="8">
        <f>IFERROR(SEARCH(SAV!$M$6,B90),0)</f>
        <v>0</v>
      </c>
      <c r="O90" s="8" t="str">
        <f>IF(N90=0,"",COUNTIF($N$2:N90,1))</f>
        <v/>
      </c>
      <c r="P90" s="8" t="str">
        <f>IFERROR(INDEX(B:B,MATCH(ROW(O89),O:O,0)),"")</f>
        <v/>
      </c>
    </row>
    <row r="91" spans="2:16">
      <c r="B91" s="7"/>
      <c r="F91" s="4"/>
      <c r="G91" s="5"/>
      <c r="H91" s="6"/>
      <c r="I91" s="226"/>
      <c r="J91" s="226"/>
      <c r="K91" s="226"/>
      <c r="L91" s="226"/>
      <c r="M91" s="8">
        <f>Tableau3[[#This Row],[CODE]]</f>
        <v>0</v>
      </c>
      <c r="N91" s="8">
        <f>IFERROR(SEARCH(SAV!$M$6,B91),0)</f>
        <v>0</v>
      </c>
      <c r="O91" s="8" t="str">
        <f>IF(N91=0,"",COUNTIF($N$2:N91,1))</f>
        <v/>
      </c>
      <c r="P91" s="8" t="str">
        <f>IFERROR(INDEX(B:B,MATCH(ROW(O90),O:O,0)),"")</f>
        <v/>
      </c>
    </row>
    <row r="92" spans="2:16" ht="22.5">
      <c r="B92" s="7"/>
      <c r="F92" s="4"/>
      <c r="G92" s="5"/>
      <c r="H92" s="6"/>
      <c r="I92" s="226"/>
      <c r="J92" s="226"/>
      <c r="K92" s="226"/>
      <c r="L92" s="226"/>
      <c r="M92" s="8">
        <f>Tableau3[[#This Row],[CODE]]</f>
        <v>0</v>
      </c>
      <c r="N92" s="8">
        <f>IFERROR(SEARCH(SAV!$M$6,B92),0)</f>
        <v>0</v>
      </c>
      <c r="O92" s="8" t="str">
        <f>IF(N92=0,"",COUNTIF($N$2:N92,1))</f>
        <v/>
      </c>
      <c r="P92" s="8" t="str">
        <f>IFERROR(INDEX(B:B,MATCH(ROW(O91),O:O,0)),"")</f>
        <v/>
      </c>
    </row>
    <row r="93" spans="2:16">
      <c r="B93" s="7"/>
      <c r="F93" s="4"/>
      <c r="G93" s="5"/>
      <c r="H93" s="6"/>
      <c r="I93" s="226"/>
      <c r="J93" s="226"/>
      <c r="K93" s="226"/>
      <c r="L93" s="226"/>
      <c r="M93" s="8">
        <f>Tableau3[[#This Row],[CODE]]</f>
        <v>0</v>
      </c>
      <c r="N93" s="8">
        <f>IFERROR(SEARCH(SAV!$M$6,B93),0)</f>
        <v>0</v>
      </c>
      <c r="O93" s="8" t="str">
        <f>IF(N93=0,"",COUNTIF($N$2:N93,1))</f>
        <v/>
      </c>
      <c r="P93" s="8" t="str">
        <f>IFERROR(INDEX(B:B,MATCH(ROW(O92),O:O,0)),"")</f>
        <v/>
      </c>
    </row>
    <row r="94" spans="2:16" ht="33.75">
      <c r="B94" s="7"/>
      <c r="F94" s="4"/>
      <c r="G94" s="5"/>
      <c r="H94" s="6"/>
      <c r="I94" s="226"/>
      <c r="J94" s="226"/>
      <c r="K94" s="226"/>
      <c r="L94" s="226"/>
      <c r="M94" s="8">
        <f>Tableau3[[#This Row],[CODE]]</f>
        <v>0</v>
      </c>
      <c r="N94" s="8">
        <f>IFERROR(SEARCH(SAV!$M$6,B94),0)</f>
        <v>0</v>
      </c>
      <c r="O94" s="8" t="str">
        <f>IF(N94=0,"",COUNTIF($N$2:N94,1))</f>
        <v/>
      </c>
      <c r="P94" s="8" t="str">
        <f>IFERROR(INDEX(B:B,MATCH(ROW(O93),O:O,0)),"")</f>
        <v/>
      </c>
    </row>
    <row r="95" spans="2:16">
      <c r="B95" s="7"/>
      <c r="F95" s="4"/>
      <c r="G95" s="5"/>
      <c r="H95" s="6"/>
      <c r="I95" s="226"/>
      <c r="J95" s="226"/>
      <c r="K95" s="226"/>
      <c r="L95" s="226"/>
      <c r="M95" s="8">
        <f>Tableau3[[#This Row],[CODE]]</f>
        <v>0</v>
      </c>
      <c r="N95" s="8">
        <f>IFERROR(SEARCH(SAV!$M$6,B95),0)</f>
        <v>0</v>
      </c>
      <c r="O95" s="8" t="str">
        <f>IF(N95=0,"",COUNTIF($N$2:N95,1))</f>
        <v/>
      </c>
      <c r="P95" s="8" t="str">
        <f>IFERROR(INDEX(B:B,MATCH(ROW(O94),O:O,0)),"")</f>
        <v/>
      </c>
    </row>
    <row r="96" spans="2:16">
      <c r="B96" s="7"/>
      <c r="F96" s="4"/>
      <c r="G96" s="5"/>
      <c r="H96" s="6"/>
      <c r="I96" s="226"/>
      <c r="J96" s="226"/>
      <c r="K96" s="226"/>
      <c r="L96" s="226"/>
      <c r="M96" s="8">
        <f>Tableau3[[#This Row],[CODE]]</f>
        <v>0</v>
      </c>
      <c r="N96" s="8">
        <f>IFERROR(SEARCH(SAV!$M$6,B96),0)</f>
        <v>0</v>
      </c>
      <c r="O96" s="8" t="str">
        <f>IF(N96=0,"",COUNTIF($N$2:N96,1))</f>
        <v/>
      </c>
      <c r="P96" s="8" t="str">
        <f>IFERROR(INDEX(B:B,MATCH(ROW(O95),O:O,0)),"")</f>
        <v/>
      </c>
    </row>
    <row r="97" spans="2:16">
      <c r="B97" s="7"/>
      <c r="F97" s="4"/>
      <c r="G97" s="5"/>
      <c r="H97" s="6"/>
      <c r="I97" s="226"/>
      <c r="J97" s="226"/>
      <c r="K97" s="226"/>
      <c r="L97" s="226"/>
      <c r="M97" s="8">
        <f>Tableau3[[#This Row],[CODE]]</f>
        <v>0</v>
      </c>
      <c r="N97" s="8">
        <f>IFERROR(SEARCH(SAV!$M$6,B97),0)</f>
        <v>0</v>
      </c>
      <c r="O97" s="8" t="str">
        <f>IF(N97=0,"",COUNTIF($N$2:N97,1))</f>
        <v/>
      </c>
      <c r="P97" s="8" t="str">
        <f>IFERROR(INDEX(B:B,MATCH(ROW(O96),O:O,0)),"")</f>
        <v/>
      </c>
    </row>
    <row r="98" spans="2:16">
      <c r="B98" s="7"/>
      <c r="F98" s="4"/>
      <c r="G98" s="5"/>
      <c r="H98" s="6"/>
      <c r="I98" s="226"/>
      <c r="J98" s="226"/>
      <c r="K98" s="226"/>
      <c r="L98" s="226"/>
      <c r="M98" s="8">
        <f>Tableau3[[#This Row],[CODE]]</f>
        <v>0</v>
      </c>
      <c r="N98" s="8">
        <f>IFERROR(SEARCH(SAV!$M$6,B98),0)</f>
        <v>0</v>
      </c>
      <c r="O98" s="8" t="str">
        <f>IF(N98=0,"",COUNTIF($N$2:N98,1))</f>
        <v/>
      </c>
      <c r="P98" s="8" t="str">
        <f>IFERROR(INDEX(B:B,MATCH(ROW(O97),O:O,0)),"")</f>
        <v/>
      </c>
    </row>
    <row r="99" spans="2:16">
      <c r="B99" s="7"/>
      <c r="F99" s="4"/>
      <c r="G99" s="5"/>
      <c r="H99" s="6"/>
      <c r="I99" s="226"/>
      <c r="J99" s="226"/>
      <c r="K99" s="226"/>
      <c r="L99" s="226"/>
      <c r="M99" s="8">
        <f>Tableau3[[#This Row],[CODE]]</f>
        <v>0</v>
      </c>
      <c r="N99" s="8">
        <f>IFERROR(SEARCH(SAV!$M$6,B99),0)</f>
        <v>0</v>
      </c>
      <c r="O99" s="8" t="str">
        <f>IF(N99=0,"",COUNTIF($N$2:N99,1))</f>
        <v/>
      </c>
      <c r="P99" s="8" t="str">
        <f>IFERROR(INDEX(B:B,MATCH(ROW(O98),O:O,0)),"")</f>
        <v/>
      </c>
    </row>
    <row r="100" spans="2:16" ht="22.5">
      <c r="B100" s="7"/>
      <c r="F100" s="4"/>
      <c r="G100" s="5"/>
      <c r="H100" s="6"/>
      <c r="I100" s="226"/>
      <c r="J100" s="226"/>
      <c r="K100" s="226"/>
      <c r="L100" s="226"/>
      <c r="M100" s="8">
        <f>Tableau3[[#This Row],[CODE]]</f>
        <v>0</v>
      </c>
      <c r="N100" s="8">
        <f>IFERROR(SEARCH(SAV!$M$6,B100),0)</f>
        <v>0</v>
      </c>
      <c r="O100" s="8" t="str">
        <f>IF(N100=0,"",COUNTIF($N$2:N100,1))</f>
        <v/>
      </c>
      <c r="P100" s="8" t="str">
        <f>IFERROR(INDEX(B:B,MATCH(ROW(O99),O:O,0)),"")</f>
        <v/>
      </c>
    </row>
    <row r="101" spans="2:16" ht="33.75">
      <c r="B101" s="7"/>
      <c r="F101" s="4"/>
      <c r="G101" s="5"/>
      <c r="H101" s="6"/>
      <c r="I101" s="226"/>
      <c r="J101" s="226"/>
      <c r="K101" s="226"/>
      <c r="L101" s="226"/>
      <c r="M101" s="8">
        <f>Tableau3[[#This Row],[CODE]]</f>
        <v>0</v>
      </c>
      <c r="N101" s="8">
        <f>IFERROR(SEARCH(SAV!$M$6,B101),0)</f>
        <v>0</v>
      </c>
      <c r="O101" s="8" t="str">
        <f>IF(N101=0,"",COUNTIF($N$2:N101,1))</f>
        <v/>
      </c>
      <c r="P101" s="8" t="str">
        <f>IFERROR(INDEX(B:B,MATCH(ROW(O100),O:O,0)),"")</f>
        <v/>
      </c>
    </row>
    <row r="102" spans="2:16" ht="33.75">
      <c r="B102" s="7"/>
      <c r="F102" s="4"/>
      <c r="G102" s="5"/>
      <c r="H102" s="6"/>
      <c r="I102" s="226"/>
      <c r="J102" s="226"/>
      <c r="K102" s="226"/>
      <c r="L102" s="226"/>
      <c r="M102" s="8">
        <f>Tableau3[[#This Row],[CODE]]</f>
        <v>0</v>
      </c>
      <c r="N102" s="8">
        <f>IFERROR(SEARCH(SAV!$M$6,B102),0)</f>
        <v>0</v>
      </c>
      <c r="O102" s="8" t="str">
        <f>IF(N102=0,"",COUNTIF($N$2:N102,1))</f>
        <v/>
      </c>
      <c r="P102" s="8" t="str">
        <f>IFERROR(INDEX(B:B,MATCH(ROW(O101),O:O,0)),"")</f>
        <v/>
      </c>
    </row>
    <row r="103" spans="2:16" ht="33.75">
      <c r="B103" s="7"/>
      <c r="F103" s="4"/>
      <c r="G103" s="5"/>
      <c r="H103" s="6"/>
      <c r="I103" s="226"/>
      <c r="J103" s="226"/>
      <c r="K103" s="226"/>
      <c r="L103" s="226"/>
      <c r="M103" s="8">
        <f>Tableau3[[#This Row],[CODE]]</f>
        <v>0</v>
      </c>
      <c r="N103" s="8">
        <f>IFERROR(SEARCH(SAV!$M$6,B103),0)</f>
        <v>0</v>
      </c>
      <c r="O103" s="8" t="str">
        <f>IF(N103=0,"",COUNTIF($N$2:N103,1))</f>
        <v/>
      </c>
      <c r="P103" s="8" t="str">
        <f>IFERROR(INDEX(B:B,MATCH(ROW(O102),O:O,0)),"")</f>
        <v/>
      </c>
    </row>
    <row r="104" spans="2:16" ht="45">
      <c r="B104" s="7"/>
      <c r="F104" s="4"/>
      <c r="G104" s="5"/>
      <c r="H104" s="6"/>
      <c r="I104" s="226"/>
      <c r="J104" s="226"/>
      <c r="K104" s="226"/>
      <c r="L104" s="226"/>
      <c r="M104" s="8">
        <f>Tableau3[[#This Row],[CODE]]</f>
        <v>0</v>
      </c>
      <c r="N104" s="8">
        <f>IFERROR(SEARCH(SAV!$M$6,B104),0)</f>
        <v>0</v>
      </c>
      <c r="O104" s="8" t="str">
        <f>IF(N104=0,"",COUNTIF($N$2:N104,1))</f>
        <v/>
      </c>
      <c r="P104" s="8" t="str">
        <f>IFERROR(INDEX(B:B,MATCH(ROW(O103),O:O,0)),"")</f>
        <v/>
      </c>
    </row>
    <row r="105" spans="2:16" ht="33.75">
      <c r="B105" s="7"/>
      <c r="F105" s="4"/>
      <c r="G105" s="5"/>
      <c r="H105" s="6"/>
      <c r="I105" s="226"/>
      <c r="J105" s="226"/>
      <c r="K105" s="226"/>
      <c r="L105" s="226"/>
      <c r="M105" s="8">
        <f>Tableau3[[#This Row],[CODE]]</f>
        <v>0</v>
      </c>
      <c r="N105" s="8">
        <f>IFERROR(SEARCH(SAV!$M$6,B105),0)</f>
        <v>0</v>
      </c>
      <c r="O105" s="8" t="str">
        <f>IF(N105=0,"",COUNTIF($N$2:N105,1))</f>
        <v/>
      </c>
      <c r="P105" s="8" t="str">
        <f>IFERROR(INDEX(B:B,MATCH(ROW(O104),O:O,0)),"")</f>
        <v/>
      </c>
    </row>
    <row r="106" spans="2:16" ht="33.75">
      <c r="B106" s="7"/>
      <c r="F106" s="4"/>
      <c r="G106" s="5"/>
      <c r="H106" s="6"/>
      <c r="I106" s="226"/>
      <c r="J106" s="226"/>
      <c r="K106" s="226"/>
      <c r="L106" s="226"/>
      <c r="M106" s="8">
        <f>Tableau3[[#This Row],[CODE]]</f>
        <v>0</v>
      </c>
      <c r="N106" s="8">
        <f>IFERROR(SEARCH(SAV!$M$6,B106),0)</f>
        <v>0</v>
      </c>
      <c r="O106" s="8" t="str">
        <f>IF(N106=0,"",COUNTIF($N$2:N106,1))</f>
        <v/>
      </c>
      <c r="P106" s="8" t="str">
        <f>IFERROR(INDEX(B:B,MATCH(ROW(O105),O:O,0)),"")</f>
        <v/>
      </c>
    </row>
    <row r="107" spans="2:16" ht="22.5">
      <c r="B107" s="7"/>
      <c r="F107" s="4"/>
      <c r="G107" s="5"/>
      <c r="H107" s="6"/>
      <c r="I107" s="226"/>
      <c r="J107" s="226"/>
      <c r="K107" s="226"/>
      <c r="L107" s="226"/>
      <c r="M107" s="8">
        <f>Tableau3[[#This Row],[CODE]]</f>
        <v>0</v>
      </c>
      <c r="N107" s="8">
        <f>IFERROR(SEARCH(SAV!$M$6,B107),0)</f>
        <v>0</v>
      </c>
      <c r="O107" s="8" t="str">
        <f>IF(N107=0,"",COUNTIF($N$2:N107,1))</f>
        <v/>
      </c>
      <c r="P107" s="8" t="str">
        <f>IFERROR(INDEX(B:B,MATCH(ROW(O106),O:O,0)),"")</f>
        <v/>
      </c>
    </row>
    <row r="108" spans="2:16" ht="22.5">
      <c r="B108" s="7"/>
      <c r="F108" s="4"/>
      <c r="G108" s="5"/>
      <c r="H108" s="6"/>
      <c r="I108" s="226"/>
      <c r="J108" s="226"/>
      <c r="K108" s="226"/>
      <c r="L108" s="226"/>
      <c r="M108" s="8">
        <f>Tableau3[[#This Row],[CODE]]</f>
        <v>0</v>
      </c>
      <c r="N108" s="8">
        <f>IFERROR(SEARCH(SAV!$M$6,B108),0)</f>
        <v>0</v>
      </c>
      <c r="O108" s="8" t="str">
        <f>IF(N108=0,"",COUNTIF($N$2:N108,1))</f>
        <v/>
      </c>
      <c r="P108" s="8" t="str">
        <f>IFERROR(INDEX(B:B,MATCH(ROW(O107),O:O,0)),"")</f>
        <v/>
      </c>
    </row>
    <row r="109" spans="2:16" ht="33.75">
      <c r="B109" s="7"/>
      <c r="F109" s="4"/>
      <c r="G109" s="5"/>
      <c r="H109" s="6"/>
      <c r="I109" s="226"/>
      <c r="J109" s="226"/>
      <c r="K109" s="226"/>
      <c r="L109" s="226"/>
      <c r="M109" s="8">
        <f>Tableau3[[#This Row],[CODE]]</f>
        <v>0</v>
      </c>
      <c r="N109" s="8">
        <f>IFERROR(SEARCH(SAV!$M$6,B109),0)</f>
        <v>0</v>
      </c>
      <c r="O109" s="8" t="str">
        <f>IF(N109=0,"",COUNTIF($N$2:N109,1))</f>
        <v/>
      </c>
      <c r="P109" s="8" t="str">
        <f>IFERROR(INDEX(B:B,MATCH(ROW(O108),O:O,0)),"")</f>
        <v/>
      </c>
    </row>
    <row r="110" spans="2:16" ht="22.5">
      <c r="B110" s="7"/>
      <c r="F110" s="4"/>
      <c r="G110" s="5"/>
      <c r="H110" s="6"/>
      <c r="I110" s="226"/>
      <c r="J110" s="226"/>
      <c r="K110" s="226"/>
      <c r="L110" s="226"/>
      <c r="M110" s="8">
        <f>Tableau3[[#This Row],[CODE]]</f>
        <v>0</v>
      </c>
      <c r="N110" s="8">
        <f>IFERROR(SEARCH(SAV!$M$6,B110),0)</f>
        <v>0</v>
      </c>
      <c r="O110" s="8" t="str">
        <f>IF(N110=0,"",COUNTIF($N$2:N110,1))</f>
        <v/>
      </c>
      <c r="P110" s="8" t="str">
        <f>IFERROR(INDEX(B:B,MATCH(ROW(O109),O:O,0)),"")</f>
        <v/>
      </c>
    </row>
    <row r="111" spans="2:16" ht="22.5">
      <c r="B111" s="7"/>
      <c r="F111" s="4"/>
      <c r="G111" s="5"/>
      <c r="H111" s="6"/>
      <c r="I111" s="226"/>
      <c r="J111" s="226"/>
      <c r="K111" s="226"/>
      <c r="L111" s="226"/>
      <c r="M111" s="8">
        <f>Tableau3[[#This Row],[CODE]]</f>
        <v>0</v>
      </c>
      <c r="N111" s="8">
        <f>IFERROR(SEARCH(SAV!$M$6,B111),0)</f>
        <v>0</v>
      </c>
      <c r="O111" s="8" t="str">
        <f>IF(N111=0,"",COUNTIF($N$2:N111,1))</f>
        <v/>
      </c>
      <c r="P111" s="8" t="str">
        <f>IFERROR(INDEX(B:B,MATCH(ROW(O110),O:O,0)),"")</f>
        <v/>
      </c>
    </row>
    <row r="112" spans="2:16">
      <c r="B112" s="7"/>
      <c r="F112" s="4"/>
      <c r="G112" s="5"/>
      <c r="H112" s="6"/>
      <c r="I112" s="226"/>
      <c r="J112" s="226"/>
      <c r="K112" s="226"/>
      <c r="L112" s="226"/>
      <c r="M112" s="8">
        <f>Tableau3[[#This Row],[CODE]]</f>
        <v>0</v>
      </c>
      <c r="N112" s="8">
        <f>IFERROR(SEARCH(SAV!$M$6,B112),0)</f>
        <v>0</v>
      </c>
      <c r="O112" s="8" t="str">
        <f>IF(N112=0,"",COUNTIF($N$2:N112,1))</f>
        <v/>
      </c>
      <c r="P112" s="8" t="str">
        <f>IFERROR(INDEX(B:B,MATCH(ROW(O111),O:O,0)),"")</f>
        <v/>
      </c>
    </row>
    <row r="113" spans="2:16" ht="90">
      <c r="B113" s="7"/>
      <c r="F113" s="4"/>
      <c r="G113" s="5"/>
      <c r="H113" s="6"/>
      <c r="I113" s="226"/>
      <c r="J113" s="226"/>
      <c r="K113" s="226"/>
      <c r="L113" s="226"/>
      <c r="M113" s="8">
        <f>Tableau3[[#This Row],[CODE]]</f>
        <v>0</v>
      </c>
      <c r="N113" s="8">
        <f>IFERROR(SEARCH(SAV!$M$6,B113),0)</f>
        <v>0</v>
      </c>
      <c r="O113" s="8" t="str">
        <f>IF(N113=0,"",COUNTIF($N$2:N113,1))</f>
        <v/>
      </c>
      <c r="P113" s="8" t="str">
        <f>IFERROR(INDEX(B:B,MATCH(ROW(O112),O:O,0)),"")</f>
        <v/>
      </c>
    </row>
    <row r="114" spans="2:16">
      <c r="B114" s="7"/>
      <c r="F114" s="4"/>
      <c r="G114" s="5"/>
      <c r="H114" s="6"/>
      <c r="I114" s="226"/>
      <c r="J114" s="226"/>
      <c r="K114" s="226"/>
      <c r="L114" s="226"/>
      <c r="M114" s="8">
        <f>Tableau3[[#This Row],[CODE]]</f>
        <v>0</v>
      </c>
      <c r="N114" s="8">
        <f>IFERROR(SEARCH(SAV!$M$6,B114),0)</f>
        <v>0</v>
      </c>
      <c r="O114" s="8" t="str">
        <f>IF(N114=0,"",COUNTIF($N$2:N114,1))</f>
        <v/>
      </c>
      <c r="P114" s="8" t="str">
        <f>IFERROR(INDEX(B:B,MATCH(ROW(O113),O:O,0)),"")</f>
        <v/>
      </c>
    </row>
    <row r="115" spans="2:16" ht="22.5">
      <c r="B115" s="7"/>
      <c r="F115" s="4"/>
      <c r="G115" s="5"/>
      <c r="H115" s="6"/>
      <c r="I115" s="226"/>
      <c r="J115" s="226"/>
      <c r="K115" s="226"/>
      <c r="L115" s="226"/>
      <c r="M115" s="8">
        <f>Tableau3[[#This Row],[CODE]]</f>
        <v>0</v>
      </c>
      <c r="N115" s="8">
        <f>IFERROR(SEARCH(SAV!$M$6,B115),0)</f>
        <v>0</v>
      </c>
      <c r="O115" s="8" t="str">
        <f>IF(N115=0,"",COUNTIF($N$2:N115,1))</f>
        <v/>
      </c>
      <c r="P115" s="8" t="str">
        <f>IFERROR(INDEX(B:B,MATCH(ROW(O114),O:O,0)),"")</f>
        <v/>
      </c>
    </row>
    <row r="116" spans="2:16" ht="22.5">
      <c r="B116" s="7"/>
      <c r="F116" s="4"/>
      <c r="G116" s="5"/>
      <c r="H116" s="6"/>
      <c r="I116" s="226"/>
      <c r="J116" s="226"/>
      <c r="K116" s="226"/>
      <c r="L116" s="226"/>
      <c r="M116" s="8">
        <f>Tableau3[[#This Row],[CODE]]</f>
        <v>0</v>
      </c>
      <c r="N116" s="8">
        <f>IFERROR(SEARCH(SAV!$M$6,B116),0)</f>
        <v>0</v>
      </c>
      <c r="O116" s="8" t="str">
        <f>IF(N116=0,"",COUNTIF($N$2:N116,1))</f>
        <v/>
      </c>
      <c r="P116" s="8" t="str">
        <f>IFERROR(INDEX(B:B,MATCH(ROW(O115),O:O,0)),"")</f>
        <v/>
      </c>
    </row>
    <row r="117" spans="2:16" ht="22.5">
      <c r="B117" s="7"/>
      <c r="F117" s="4"/>
      <c r="G117" s="5"/>
      <c r="H117" s="6"/>
      <c r="I117" s="226"/>
      <c r="J117" s="226"/>
      <c r="K117" s="226"/>
      <c r="L117" s="226"/>
      <c r="M117" s="8">
        <f>Tableau3[[#This Row],[CODE]]</f>
        <v>0</v>
      </c>
      <c r="N117" s="8">
        <f>IFERROR(SEARCH(SAV!$M$6,B117),0)</f>
        <v>0</v>
      </c>
      <c r="O117" s="8" t="str">
        <f>IF(N117=0,"",COUNTIF($N$2:N117,1))</f>
        <v/>
      </c>
      <c r="P117" s="8" t="str">
        <f>IFERROR(INDEX(B:B,MATCH(ROW(O116),O:O,0)),"")</f>
        <v/>
      </c>
    </row>
    <row r="118" spans="2:16" ht="22.5">
      <c r="B118" s="7"/>
      <c r="F118" s="4"/>
      <c r="G118" s="5"/>
      <c r="H118" s="6"/>
      <c r="I118" s="226"/>
      <c r="J118" s="226"/>
      <c r="K118" s="226"/>
      <c r="L118" s="226"/>
      <c r="M118" s="8">
        <f>Tableau3[[#This Row],[CODE]]</f>
        <v>0</v>
      </c>
      <c r="N118" s="8">
        <f>IFERROR(SEARCH(SAV!$M$6,B118),0)</f>
        <v>0</v>
      </c>
      <c r="O118" s="8" t="str">
        <f>IF(N118=0,"",COUNTIF($N$2:N118,1))</f>
        <v/>
      </c>
      <c r="P118" s="8" t="str">
        <f>IFERROR(INDEX(B:B,MATCH(ROW(O117),O:O,0)),"")</f>
        <v/>
      </c>
    </row>
    <row r="119" spans="2:16" ht="90">
      <c r="B119" s="7"/>
      <c r="F119" s="4"/>
      <c r="G119" s="5"/>
      <c r="H119" s="6"/>
      <c r="I119" s="226"/>
      <c r="J119" s="226"/>
      <c r="K119" s="226"/>
      <c r="L119" s="226"/>
      <c r="M119" s="8">
        <f>Tableau3[[#This Row],[CODE]]</f>
        <v>0</v>
      </c>
      <c r="N119" s="8">
        <f>IFERROR(SEARCH(SAV!$M$6,B119),0)</f>
        <v>0</v>
      </c>
      <c r="O119" s="8" t="str">
        <f>IF(N119=0,"",COUNTIF($N$2:N119,1))</f>
        <v/>
      </c>
      <c r="P119" s="8" t="str">
        <f>IFERROR(INDEX(B:B,MATCH(ROW(O118),O:O,0)),"")</f>
        <v/>
      </c>
    </row>
    <row r="120" spans="2:16" ht="33.75">
      <c r="B120" s="7"/>
      <c r="F120" s="4"/>
      <c r="G120" s="5"/>
      <c r="H120" s="6"/>
      <c r="I120" s="226"/>
      <c r="J120" s="226"/>
      <c r="K120" s="226"/>
      <c r="L120" s="226"/>
      <c r="M120" s="8">
        <f>Tableau3[[#This Row],[CODE]]</f>
        <v>0</v>
      </c>
      <c r="N120" s="8">
        <f>IFERROR(SEARCH(SAV!$M$6,B120),0)</f>
        <v>0</v>
      </c>
      <c r="O120" s="8" t="str">
        <f>IF(N120=0,"",COUNTIF($N$2:N120,1))</f>
        <v/>
      </c>
      <c r="P120" s="8" t="str">
        <f>IFERROR(INDEX(B:B,MATCH(ROW(O119),O:O,0)),"")</f>
        <v/>
      </c>
    </row>
    <row r="121" spans="2:16" ht="22.5">
      <c r="B121" s="7"/>
      <c r="F121" s="4"/>
      <c r="G121" s="5"/>
      <c r="H121" s="6"/>
      <c r="I121" s="226"/>
      <c r="J121" s="226"/>
      <c r="K121" s="226"/>
      <c r="L121" s="226"/>
      <c r="M121" s="8">
        <f>Tableau3[[#This Row],[CODE]]</f>
        <v>0</v>
      </c>
      <c r="N121" s="8">
        <f>IFERROR(SEARCH(SAV!$M$6,B121),0)</f>
        <v>0</v>
      </c>
      <c r="O121" s="8" t="str">
        <f>IF(N121=0,"",COUNTIF($N$2:N121,1))</f>
        <v/>
      </c>
      <c r="P121" s="8" t="str">
        <f>IFERROR(INDEX(B:B,MATCH(ROW(O120),O:O,0)),"")</f>
        <v/>
      </c>
    </row>
    <row r="122" spans="2:16">
      <c r="B122" s="7"/>
      <c r="F122" s="4"/>
      <c r="G122" s="5"/>
      <c r="H122" s="6"/>
      <c r="I122" s="226"/>
      <c r="J122" s="226"/>
      <c r="K122" s="226"/>
      <c r="L122" s="226"/>
      <c r="M122" s="8">
        <f>Tableau3[[#This Row],[CODE]]</f>
        <v>0</v>
      </c>
      <c r="N122" s="8">
        <f>IFERROR(SEARCH(SAV!$M$6,B122),0)</f>
        <v>0</v>
      </c>
      <c r="O122" s="8" t="str">
        <f>IF(N122=0,"",COUNTIF($N$2:N122,1))</f>
        <v/>
      </c>
      <c r="P122" s="8" t="str">
        <f>IFERROR(INDEX(B:B,MATCH(ROW(O121),O:O,0)),"")</f>
        <v/>
      </c>
    </row>
    <row r="123" spans="2:16" ht="22.5">
      <c r="B123" s="7"/>
      <c r="F123" s="4"/>
      <c r="G123" s="5"/>
      <c r="H123" s="6"/>
      <c r="I123" s="226"/>
      <c r="J123" s="226"/>
      <c r="K123" s="226"/>
      <c r="L123" s="226"/>
      <c r="M123" s="8">
        <f>Tableau3[[#This Row],[CODE]]</f>
        <v>0</v>
      </c>
      <c r="N123" s="8">
        <f>IFERROR(SEARCH(SAV!$M$6,B123),0)</f>
        <v>0</v>
      </c>
      <c r="O123" s="8" t="str">
        <f>IF(N123=0,"",COUNTIF($N$2:N123,1))</f>
        <v/>
      </c>
      <c r="P123" s="8" t="str">
        <f>IFERROR(INDEX(B:B,MATCH(ROW(O122),O:O,0)),"")</f>
        <v/>
      </c>
    </row>
    <row r="124" spans="2:16" ht="135">
      <c r="B124" s="7"/>
      <c r="F124" s="4"/>
      <c r="G124" s="5"/>
      <c r="H124" s="6"/>
      <c r="I124" s="226"/>
      <c r="J124" s="226"/>
      <c r="K124" s="226"/>
      <c r="L124" s="226"/>
      <c r="M124" s="8">
        <f>Tableau3[[#This Row],[CODE]]</f>
        <v>0</v>
      </c>
      <c r="N124" s="8">
        <f>IFERROR(SEARCH(SAV!$M$6,B124),0)</f>
        <v>0</v>
      </c>
      <c r="O124" s="8" t="str">
        <f>IF(N124=0,"",COUNTIF($N$2:N124,1))</f>
        <v/>
      </c>
      <c r="P124" s="8" t="str">
        <f>IFERROR(INDEX(B:B,MATCH(ROW(O123),O:O,0)),"")</f>
        <v/>
      </c>
    </row>
    <row r="125" spans="2:16" ht="33.75">
      <c r="B125" s="7"/>
      <c r="F125" s="4"/>
      <c r="G125" s="5"/>
      <c r="H125" s="6"/>
      <c r="I125" s="226"/>
      <c r="J125" s="226"/>
      <c r="K125" s="226"/>
      <c r="L125" s="226"/>
      <c r="M125" s="8">
        <f>Tableau3[[#This Row],[CODE]]</f>
        <v>0</v>
      </c>
      <c r="N125" s="8">
        <f>IFERROR(SEARCH(SAV!$M$6,B125),0)</f>
        <v>0</v>
      </c>
      <c r="O125" s="8" t="str">
        <f>IF(N125=0,"",COUNTIF($N$2:N125,1))</f>
        <v/>
      </c>
      <c r="P125" s="8" t="str">
        <f>IFERROR(INDEX(B:B,MATCH(ROW(O124),O:O,0)),"")</f>
        <v/>
      </c>
    </row>
    <row r="126" spans="2:16" ht="112.5">
      <c r="B126" s="7"/>
      <c r="F126" s="4"/>
      <c r="G126" s="5"/>
      <c r="H126" s="6"/>
      <c r="I126" s="226"/>
      <c r="J126" s="226"/>
      <c r="K126" s="226"/>
      <c r="L126" s="226"/>
      <c r="M126" s="8">
        <f>Tableau3[[#This Row],[CODE]]</f>
        <v>0</v>
      </c>
      <c r="N126" s="8">
        <f>IFERROR(SEARCH(SAV!$M$6,B126),0)</f>
        <v>0</v>
      </c>
      <c r="O126" s="8" t="str">
        <f>IF(N126=0,"",COUNTIF($N$2:N126,1))</f>
        <v/>
      </c>
      <c r="P126" s="8" t="str">
        <f>IFERROR(INDEX(B:B,MATCH(ROW(O125),O:O,0)),"")</f>
        <v/>
      </c>
    </row>
    <row r="127" spans="2:16" ht="78.75">
      <c r="B127" s="7"/>
      <c r="F127" s="4"/>
      <c r="G127" s="5"/>
      <c r="H127" s="6"/>
      <c r="I127" s="226"/>
      <c r="J127" s="226"/>
      <c r="K127" s="226"/>
      <c r="L127" s="226"/>
      <c r="M127" s="8">
        <f>Tableau3[[#This Row],[CODE]]</f>
        <v>0</v>
      </c>
      <c r="N127" s="8">
        <f>IFERROR(SEARCH(SAV!$M$6,B127),0)</f>
        <v>0</v>
      </c>
      <c r="O127" s="8" t="str">
        <f>IF(N127=0,"",COUNTIF($N$2:N127,1))</f>
        <v/>
      </c>
      <c r="P127" s="8" t="str">
        <f>IFERROR(INDEX(B:B,MATCH(ROW(O126),O:O,0)),"")</f>
        <v/>
      </c>
    </row>
    <row r="128" spans="2:16" ht="45">
      <c r="B128" s="7"/>
      <c r="F128" s="4"/>
      <c r="G128" s="5"/>
      <c r="H128" s="6"/>
      <c r="I128" s="226"/>
      <c r="J128" s="226"/>
      <c r="K128" s="226"/>
      <c r="L128" s="226"/>
      <c r="M128" s="8">
        <f>Tableau3[[#This Row],[CODE]]</f>
        <v>0</v>
      </c>
      <c r="N128" s="8">
        <f>IFERROR(SEARCH(SAV!$M$6,B128),0)</f>
        <v>0</v>
      </c>
      <c r="O128" s="8" t="str">
        <f>IF(N128=0,"",COUNTIF($N$2:N128,1))</f>
        <v/>
      </c>
      <c r="P128" s="8" t="str">
        <f>IFERROR(INDEX(B:B,MATCH(ROW(O127),O:O,0)),"")</f>
        <v/>
      </c>
    </row>
    <row r="129" spans="2:16" ht="22.5">
      <c r="B129" s="7"/>
      <c r="F129" s="4"/>
      <c r="G129" s="5"/>
      <c r="H129" s="6"/>
      <c r="I129" s="226"/>
      <c r="J129" s="226"/>
      <c r="K129" s="226"/>
      <c r="L129" s="226"/>
      <c r="M129" s="8">
        <f>Tableau3[[#This Row],[CODE]]</f>
        <v>0</v>
      </c>
      <c r="N129" s="8">
        <f>IFERROR(SEARCH(SAV!$M$6,B129),0)</f>
        <v>0</v>
      </c>
      <c r="O129" s="8" t="str">
        <f>IF(N129=0,"",COUNTIF($N$2:N129,1))</f>
        <v/>
      </c>
      <c r="P129" s="8" t="str">
        <f>IFERROR(INDEX(B:B,MATCH(ROW(O128),O:O,0)),"")</f>
        <v/>
      </c>
    </row>
    <row r="130" spans="2:16" ht="22.5">
      <c r="B130" s="7"/>
      <c r="F130" s="4"/>
      <c r="G130" s="5"/>
      <c r="H130" s="6"/>
      <c r="I130" s="226"/>
      <c r="J130" s="226"/>
      <c r="K130" s="226"/>
      <c r="L130" s="226"/>
      <c r="M130" s="8">
        <f>Tableau3[[#This Row],[CODE]]</f>
        <v>0</v>
      </c>
      <c r="N130" s="8">
        <f>IFERROR(SEARCH(SAV!$M$6,B130),0)</f>
        <v>0</v>
      </c>
      <c r="O130" s="8" t="str">
        <f>IF(N130=0,"",COUNTIF($N$2:N130,1))</f>
        <v/>
      </c>
      <c r="P130" s="8" t="str">
        <f>IFERROR(INDEX(B:B,MATCH(ROW(O129),O:O,0)),"")</f>
        <v/>
      </c>
    </row>
    <row r="131" spans="2:16" ht="78.75">
      <c r="B131" s="7"/>
      <c r="F131" s="4"/>
      <c r="G131" s="5"/>
      <c r="H131" s="6"/>
      <c r="I131" s="226"/>
      <c r="J131" s="226"/>
      <c r="K131" s="226"/>
      <c r="L131" s="226"/>
      <c r="M131" s="8">
        <f>Tableau3[[#This Row],[CODE]]</f>
        <v>0</v>
      </c>
      <c r="N131" s="8">
        <f>IFERROR(SEARCH(SAV!$M$6,B131),0)</f>
        <v>0</v>
      </c>
      <c r="O131" s="8" t="str">
        <f>IF(N131=0,"",COUNTIF($N$2:N131,1))</f>
        <v/>
      </c>
      <c r="P131" s="8" t="str">
        <f>IFERROR(INDEX(B:B,MATCH(ROW(O130),O:O,0)),"")</f>
        <v/>
      </c>
    </row>
    <row r="132" spans="2:16" ht="22.5">
      <c r="B132" s="7"/>
      <c r="F132" s="4"/>
      <c r="G132" s="5"/>
      <c r="H132" s="6"/>
      <c r="I132" s="226"/>
      <c r="J132" s="226"/>
      <c r="K132" s="226"/>
      <c r="L132" s="226"/>
      <c r="M132" s="8">
        <f>Tableau3[[#This Row],[CODE]]</f>
        <v>0</v>
      </c>
      <c r="N132" s="8">
        <f>IFERROR(SEARCH(SAV!$M$6,B132),0)</f>
        <v>0</v>
      </c>
      <c r="O132" s="8" t="str">
        <f>IF(N132=0,"",COUNTIF($N$2:N132,1))</f>
        <v/>
      </c>
      <c r="P132" s="8" t="str">
        <f>IFERROR(INDEX(B:B,MATCH(ROW(O131),O:O,0)),"")</f>
        <v/>
      </c>
    </row>
    <row r="133" spans="2:16" ht="22.5">
      <c r="B133" s="7"/>
      <c r="F133" s="4"/>
      <c r="G133" s="5"/>
      <c r="H133" s="6"/>
      <c r="I133" s="226"/>
      <c r="J133" s="226"/>
      <c r="K133" s="226"/>
      <c r="L133" s="226"/>
      <c r="M133" s="8">
        <f>Tableau3[[#This Row],[CODE]]</f>
        <v>0</v>
      </c>
      <c r="N133" s="8">
        <f>IFERROR(SEARCH(SAV!$M$6,B133),0)</f>
        <v>0</v>
      </c>
      <c r="O133" s="8" t="str">
        <f>IF(N133=0,"",COUNTIF($N$2:N133,1))</f>
        <v/>
      </c>
      <c r="P133" s="8" t="str">
        <f>IFERROR(INDEX(B:B,MATCH(ROW(O132),O:O,0)),"")</f>
        <v/>
      </c>
    </row>
    <row r="134" spans="2:16">
      <c r="B134" s="7"/>
      <c r="F134" s="4"/>
      <c r="G134" s="5"/>
      <c r="H134" s="6"/>
      <c r="I134" s="226"/>
      <c r="J134" s="226"/>
      <c r="K134" s="226"/>
      <c r="L134" s="226"/>
      <c r="M134" s="8">
        <f>Tableau3[[#This Row],[CODE]]</f>
        <v>0</v>
      </c>
      <c r="N134" s="8">
        <f>IFERROR(SEARCH(SAV!$M$6,B134),0)</f>
        <v>0</v>
      </c>
      <c r="O134" s="8" t="str">
        <f>IF(N134=0,"",COUNTIF($N$2:N134,1))</f>
        <v/>
      </c>
      <c r="P134" s="8" t="str">
        <f>IFERROR(INDEX(B:B,MATCH(ROW(O133),O:O,0)),"")</f>
        <v/>
      </c>
    </row>
    <row r="135" spans="2:16" ht="22.5">
      <c r="B135" s="7"/>
      <c r="F135" s="4"/>
      <c r="G135" s="5"/>
      <c r="H135" s="6"/>
      <c r="I135" s="226"/>
      <c r="J135" s="226"/>
      <c r="K135" s="226"/>
      <c r="L135" s="226"/>
      <c r="M135" s="8">
        <f>Tableau3[[#This Row],[CODE]]</f>
        <v>0</v>
      </c>
      <c r="N135" s="8">
        <f>IFERROR(SEARCH(SAV!$M$6,B135),0)</f>
        <v>0</v>
      </c>
      <c r="O135" s="8" t="str">
        <f>IF(N135=0,"",COUNTIF($N$2:N135,1))</f>
        <v/>
      </c>
      <c r="P135" s="8" t="str">
        <f>IFERROR(INDEX(B:B,MATCH(ROW(O134),O:O,0)),"")</f>
        <v/>
      </c>
    </row>
    <row r="136" spans="2:16">
      <c r="B136" s="7"/>
      <c r="F136" s="4"/>
      <c r="G136" s="5"/>
      <c r="H136" s="6"/>
      <c r="I136" s="226"/>
      <c r="J136" s="226"/>
      <c r="K136" s="226"/>
      <c r="L136" s="226"/>
      <c r="M136" s="8">
        <f>Tableau3[[#This Row],[CODE]]</f>
        <v>0</v>
      </c>
      <c r="N136" s="8">
        <f>IFERROR(SEARCH(SAV!$M$6,B136),0)</f>
        <v>0</v>
      </c>
      <c r="O136" s="8" t="str">
        <f>IF(N136=0,"",COUNTIF($N$2:N136,1))</f>
        <v/>
      </c>
      <c r="P136" s="8" t="str">
        <f>IFERROR(INDEX(B:B,MATCH(ROW(O135),O:O,0)),"")</f>
        <v/>
      </c>
    </row>
    <row r="137" spans="2:16" ht="45">
      <c r="B137" s="7"/>
      <c r="F137" s="4"/>
      <c r="G137" s="5"/>
      <c r="H137" s="6"/>
      <c r="I137" s="226"/>
      <c r="J137" s="226"/>
      <c r="K137" s="226"/>
      <c r="L137" s="226"/>
      <c r="M137" s="8">
        <f>Tableau3[[#This Row],[CODE]]</f>
        <v>0</v>
      </c>
      <c r="N137" s="8">
        <f>IFERROR(SEARCH(SAV!$M$6,B137),0)</f>
        <v>0</v>
      </c>
      <c r="O137" s="8" t="str">
        <f>IF(N137=0,"",COUNTIF($N$2:N137,1))</f>
        <v/>
      </c>
      <c r="P137" s="8" t="str">
        <f>IFERROR(INDEX(B:B,MATCH(ROW(O136),O:O,0)),"")</f>
        <v/>
      </c>
    </row>
    <row r="138" spans="2:16" ht="22.5">
      <c r="B138" s="7"/>
      <c r="F138" s="4"/>
      <c r="G138" s="5"/>
      <c r="H138" s="6"/>
      <c r="I138" s="226"/>
      <c r="J138" s="226"/>
      <c r="K138" s="226"/>
      <c r="L138" s="226"/>
      <c r="M138" s="8">
        <f>Tableau3[[#This Row],[CODE]]</f>
        <v>0</v>
      </c>
      <c r="N138" s="8">
        <f>IFERROR(SEARCH(SAV!$M$6,B138),0)</f>
        <v>0</v>
      </c>
      <c r="O138" s="8" t="str">
        <f>IF(N138=0,"",COUNTIF($N$2:N138,1))</f>
        <v/>
      </c>
      <c r="P138" s="8" t="str">
        <f>IFERROR(INDEX(B:B,MATCH(ROW(O137),O:O,0)),"")</f>
        <v/>
      </c>
    </row>
    <row r="139" spans="2:16" ht="22.5">
      <c r="B139" s="7"/>
      <c r="F139" s="4"/>
      <c r="G139" s="5"/>
      <c r="H139" s="6"/>
      <c r="I139" s="226"/>
      <c r="J139" s="226"/>
      <c r="K139" s="226"/>
      <c r="L139" s="226"/>
      <c r="M139" s="8">
        <f>Tableau3[[#This Row],[CODE]]</f>
        <v>0</v>
      </c>
      <c r="N139" s="8">
        <f>IFERROR(SEARCH(SAV!$M$6,B139),0)</f>
        <v>0</v>
      </c>
      <c r="O139" s="8" t="str">
        <f>IF(N139=0,"",COUNTIF($N$2:N139,1))</f>
        <v/>
      </c>
      <c r="P139" s="8" t="str">
        <f>IFERROR(INDEX(B:B,MATCH(ROW(O138),O:O,0)),"")</f>
        <v/>
      </c>
    </row>
    <row r="140" spans="2:16" ht="33.75">
      <c r="B140" s="7"/>
      <c r="F140" s="4"/>
      <c r="G140" s="5"/>
      <c r="H140" s="6"/>
      <c r="I140" s="226"/>
      <c r="J140" s="226"/>
      <c r="K140" s="226"/>
      <c r="L140" s="226"/>
      <c r="M140" s="8">
        <f>Tableau3[[#This Row],[CODE]]</f>
        <v>0</v>
      </c>
      <c r="N140" s="8">
        <f>IFERROR(SEARCH(SAV!$M$6,B140),0)</f>
        <v>0</v>
      </c>
      <c r="O140" s="8" t="str">
        <f>IF(N140=0,"",COUNTIF($N$2:N140,1))</f>
        <v/>
      </c>
      <c r="P140" s="8" t="str">
        <f>IFERROR(INDEX(B:B,MATCH(ROW(O139),O:O,0)),"")</f>
        <v/>
      </c>
    </row>
    <row r="141" spans="2:16" ht="45">
      <c r="B141" s="7"/>
      <c r="F141" s="4"/>
      <c r="G141" s="5"/>
      <c r="H141" s="6"/>
      <c r="I141" s="226"/>
      <c r="J141" s="226"/>
      <c r="K141" s="226"/>
      <c r="L141" s="226"/>
      <c r="M141" s="8">
        <f>Tableau3[[#This Row],[CODE]]</f>
        <v>0</v>
      </c>
      <c r="N141" s="8">
        <f>IFERROR(SEARCH(SAV!$M$6,B141),0)</f>
        <v>0</v>
      </c>
      <c r="O141" s="8" t="str">
        <f>IF(N141=0,"",COUNTIF($N$2:N141,1))</f>
        <v/>
      </c>
      <c r="P141" s="8" t="str">
        <f>IFERROR(INDEX(B:B,MATCH(ROW(O140),O:O,0)),"")</f>
        <v/>
      </c>
    </row>
    <row r="142" spans="2:16" ht="67.5">
      <c r="B142" s="7"/>
      <c r="F142" s="4"/>
      <c r="G142" s="5"/>
      <c r="H142" s="6"/>
      <c r="I142" s="226"/>
      <c r="J142" s="226"/>
      <c r="K142" s="226"/>
      <c r="L142" s="226"/>
      <c r="M142" s="8">
        <f>Tableau3[[#This Row],[CODE]]</f>
        <v>0</v>
      </c>
      <c r="N142" s="8">
        <f>IFERROR(SEARCH(SAV!$M$6,B142),0)</f>
        <v>0</v>
      </c>
      <c r="O142" s="8" t="str">
        <f>IF(N142=0,"",COUNTIF($N$2:N142,1))</f>
        <v/>
      </c>
      <c r="P142" s="8" t="str">
        <f>IFERROR(INDEX(B:B,MATCH(ROW(O141),O:O,0)),"")</f>
        <v/>
      </c>
    </row>
    <row r="143" spans="2:16" ht="45">
      <c r="B143" s="7"/>
      <c r="F143" s="4"/>
      <c r="G143" s="5"/>
      <c r="H143" s="6"/>
      <c r="I143" s="226"/>
      <c r="J143" s="226"/>
      <c r="K143" s="226"/>
      <c r="L143" s="226"/>
      <c r="M143" s="8">
        <f>Tableau3[[#This Row],[CODE]]</f>
        <v>0</v>
      </c>
      <c r="N143" s="8">
        <f>IFERROR(SEARCH(SAV!$M$6,B143),0)</f>
        <v>0</v>
      </c>
      <c r="O143" s="8" t="str">
        <f>IF(N143=0,"",COUNTIF($N$2:N143,1))</f>
        <v/>
      </c>
      <c r="P143" s="8" t="str">
        <f>IFERROR(INDEX(B:B,MATCH(ROW(O142),O:O,0)),"")</f>
        <v/>
      </c>
    </row>
    <row r="144" spans="2:16" ht="33.75">
      <c r="B144" s="7"/>
      <c r="F144" s="4"/>
      <c r="G144" s="5"/>
      <c r="H144" s="6"/>
      <c r="I144" s="226"/>
      <c r="J144" s="226"/>
      <c r="K144" s="226"/>
      <c r="L144" s="226"/>
      <c r="M144" s="8">
        <f>Tableau3[[#This Row],[CODE]]</f>
        <v>0</v>
      </c>
      <c r="N144" s="8">
        <f>IFERROR(SEARCH(SAV!$M$6,B144),0)</f>
        <v>0</v>
      </c>
      <c r="O144" s="8" t="str">
        <f>IF(N144=0,"",COUNTIF($N$2:N144,1))</f>
        <v/>
      </c>
      <c r="P144" s="8" t="str">
        <f>IFERROR(INDEX(B:B,MATCH(ROW(O143),O:O,0)),"")</f>
        <v/>
      </c>
    </row>
    <row r="145" spans="2:16" ht="45">
      <c r="B145" s="7"/>
      <c r="F145" s="4"/>
      <c r="G145" s="5"/>
      <c r="H145" s="6"/>
      <c r="I145" s="226"/>
      <c r="J145" s="226"/>
      <c r="K145" s="226"/>
      <c r="L145" s="226"/>
      <c r="M145" s="8">
        <f>Tableau3[[#This Row],[CODE]]</f>
        <v>0</v>
      </c>
      <c r="N145" s="8">
        <f>IFERROR(SEARCH(SAV!$M$6,B145),0)</f>
        <v>0</v>
      </c>
      <c r="O145" s="8" t="str">
        <f>IF(N145=0,"",COUNTIF($N$2:N145,1))</f>
        <v/>
      </c>
      <c r="P145" s="8" t="str">
        <f>IFERROR(INDEX(B:B,MATCH(ROW(O144),O:O,0)),"")</f>
        <v/>
      </c>
    </row>
    <row r="146" spans="2:16" ht="33.75">
      <c r="B146" s="7"/>
      <c r="F146" s="4"/>
      <c r="G146" s="5"/>
      <c r="H146" s="6"/>
      <c r="I146" s="226"/>
      <c r="J146" s="226"/>
      <c r="K146" s="226"/>
      <c r="L146" s="226"/>
      <c r="M146" s="8">
        <f>Tableau3[[#This Row],[CODE]]</f>
        <v>0</v>
      </c>
      <c r="N146" s="8">
        <f>IFERROR(SEARCH(SAV!$M$6,B146),0)</f>
        <v>0</v>
      </c>
      <c r="O146" s="8" t="str">
        <f>IF(N146=0,"",COUNTIF($N$2:N146,1))</f>
        <v/>
      </c>
      <c r="P146" s="8" t="str">
        <f>IFERROR(INDEX(B:B,MATCH(ROW(O145),O:O,0)),"")</f>
        <v/>
      </c>
    </row>
    <row r="147" spans="2:16" ht="22.5">
      <c r="B147" s="7"/>
      <c r="F147" s="4"/>
      <c r="G147" s="5"/>
      <c r="H147" s="6"/>
      <c r="I147" s="226"/>
      <c r="J147" s="226"/>
      <c r="K147" s="226"/>
      <c r="L147" s="226"/>
      <c r="M147" s="8">
        <f>Tableau3[[#This Row],[CODE]]</f>
        <v>0</v>
      </c>
      <c r="N147" s="8">
        <f>IFERROR(SEARCH(SAV!$M$6,B147),0)</f>
        <v>0</v>
      </c>
      <c r="O147" s="8" t="str">
        <f>IF(N147=0,"",COUNTIF($N$2:N147,1))</f>
        <v/>
      </c>
      <c r="P147" s="8" t="str">
        <f>IFERROR(INDEX(B:B,MATCH(ROW(O146),O:O,0)),"")</f>
        <v/>
      </c>
    </row>
    <row r="148" spans="2:16" ht="45">
      <c r="B148" s="7"/>
      <c r="F148" s="4"/>
      <c r="G148" s="5"/>
      <c r="H148" s="6"/>
      <c r="I148" s="226"/>
      <c r="J148" s="226"/>
      <c r="K148" s="226"/>
      <c r="L148" s="226"/>
      <c r="M148" s="8">
        <f>Tableau3[[#This Row],[CODE]]</f>
        <v>0</v>
      </c>
      <c r="N148" s="8">
        <f>IFERROR(SEARCH(SAV!$M$6,B148),0)</f>
        <v>0</v>
      </c>
      <c r="O148" s="8" t="str">
        <f>IF(N148=0,"",COUNTIF($N$2:N148,1))</f>
        <v/>
      </c>
      <c r="P148" s="8" t="str">
        <f>IFERROR(INDEX(B:B,MATCH(ROW(O147),O:O,0)),"")</f>
        <v/>
      </c>
    </row>
    <row r="149" spans="2:16" ht="33.75">
      <c r="B149" s="7"/>
      <c r="F149" s="4"/>
      <c r="G149" s="5"/>
      <c r="H149" s="6"/>
      <c r="I149" s="226"/>
      <c r="J149" s="226"/>
      <c r="K149" s="226"/>
      <c r="L149" s="226"/>
      <c r="M149" s="8">
        <f>Tableau3[[#This Row],[CODE]]</f>
        <v>0</v>
      </c>
      <c r="N149" s="8">
        <f>IFERROR(SEARCH(SAV!$M$6,B149),0)</f>
        <v>0</v>
      </c>
      <c r="O149" s="8" t="str">
        <f>IF(N149=0,"",COUNTIF($N$2:N149,1))</f>
        <v/>
      </c>
      <c r="P149" s="8" t="str">
        <f>IFERROR(INDEX(B:B,MATCH(ROW(O148),O:O,0)),"")</f>
        <v/>
      </c>
    </row>
    <row r="150" spans="2:16" ht="67.5">
      <c r="B150" s="7"/>
      <c r="F150" s="4"/>
      <c r="G150" s="5"/>
      <c r="H150" s="6"/>
      <c r="I150" s="226"/>
      <c r="J150" s="226"/>
      <c r="K150" s="226"/>
      <c r="L150" s="226"/>
      <c r="M150" s="8">
        <f>Tableau3[[#This Row],[CODE]]</f>
        <v>0</v>
      </c>
      <c r="N150" s="8">
        <f>IFERROR(SEARCH(SAV!$M$6,B150),0)</f>
        <v>0</v>
      </c>
      <c r="O150" s="8" t="str">
        <f>IF(N150=0,"",COUNTIF($N$2:N150,1))</f>
        <v/>
      </c>
      <c r="P150" s="8" t="str">
        <f>IFERROR(INDEX(B:B,MATCH(ROW(O149),O:O,0)),"")</f>
        <v/>
      </c>
    </row>
    <row r="151" spans="2:16" ht="67.5">
      <c r="B151" s="7"/>
      <c r="F151" s="4"/>
      <c r="G151" s="5"/>
      <c r="H151" s="6"/>
      <c r="I151" s="226"/>
      <c r="J151" s="226"/>
      <c r="K151" s="226"/>
      <c r="L151" s="226"/>
      <c r="M151" s="8">
        <f>Tableau3[[#This Row],[CODE]]</f>
        <v>0</v>
      </c>
      <c r="N151" s="8">
        <f>IFERROR(SEARCH(SAV!$M$6,B151),0)</f>
        <v>0</v>
      </c>
      <c r="O151" s="8" t="str">
        <f>IF(N151=0,"",COUNTIF($N$2:N151,1))</f>
        <v/>
      </c>
      <c r="P151" s="8" t="str">
        <f>IFERROR(INDEX(B:B,MATCH(ROW(O150),O:O,0)),"")</f>
        <v/>
      </c>
    </row>
    <row r="152" spans="2:16" ht="45">
      <c r="B152" s="7"/>
      <c r="F152" s="4"/>
      <c r="G152" s="5"/>
      <c r="H152" s="6"/>
      <c r="I152" s="226"/>
      <c r="J152" s="226"/>
      <c r="K152" s="226"/>
      <c r="L152" s="226"/>
      <c r="M152" s="8">
        <f>Tableau3[[#This Row],[CODE]]</f>
        <v>0</v>
      </c>
      <c r="N152" s="8">
        <f>IFERROR(SEARCH(SAV!$M$6,B152),0)</f>
        <v>0</v>
      </c>
      <c r="O152" s="8" t="str">
        <f>IF(N152=0,"",COUNTIF($N$2:N152,1))</f>
        <v/>
      </c>
      <c r="P152" s="8" t="str">
        <f>IFERROR(INDEX(B:B,MATCH(ROW(O151),O:O,0)),"")</f>
        <v/>
      </c>
    </row>
    <row r="153" spans="2:16" ht="45">
      <c r="B153" s="7"/>
      <c r="F153" s="4"/>
      <c r="G153" s="5"/>
      <c r="H153" s="6"/>
      <c r="I153" s="226"/>
      <c r="J153" s="226"/>
      <c r="K153" s="226"/>
      <c r="L153" s="226"/>
      <c r="M153" s="8">
        <f>Tableau3[[#This Row],[CODE]]</f>
        <v>0</v>
      </c>
      <c r="N153" s="8">
        <f>IFERROR(SEARCH(SAV!$M$6,B153),0)</f>
        <v>0</v>
      </c>
      <c r="O153" s="8" t="str">
        <f>IF(N153=0,"",COUNTIF($N$2:N153,1))</f>
        <v/>
      </c>
      <c r="P153" s="8" t="str">
        <f>IFERROR(INDEX(B:B,MATCH(ROW(O152),O:O,0)),"")</f>
        <v/>
      </c>
    </row>
    <row r="154" spans="2:16" ht="22.5">
      <c r="B154" s="7"/>
      <c r="F154" s="4"/>
      <c r="G154" s="5"/>
      <c r="H154" s="6"/>
      <c r="I154" s="226"/>
      <c r="J154" s="226"/>
      <c r="K154" s="226"/>
      <c r="L154" s="226"/>
      <c r="M154" s="8">
        <f>Tableau3[[#This Row],[CODE]]</f>
        <v>0</v>
      </c>
      <c r="N154" s="8">
        <f>IFERROR(SEARCH(SAV!$M$6,B154),0)</f>
        <v>0</v>
      </c>
      <c r="O154" s="8" t="str">
        <f>IF(N154=0,"",COUNTIF($N$2:N154,1))</f>
        <v/>
      </c>
      <c r="P154" s="8" t="str">
        <f>IFERROR(INDEX(B:B,MATCH(ROW(O153),O:O,0)),"")</f>
        <v/>
      </c>
    </row>
    <row r="155" spans="2:16" ht="22.5">
      <c r="B155" s="7"/>
      <c r="F155" s="4"/>
      <c r="G155" s="5"/>
      <c r="H155" s="6"/>
      <c r="I155" s="226"/>
      <c r="J155" s="226"/>
      <c r="K155" s="226"/>
      <c r="L155" s="226"/>
      <c r="M155" s="8">
        <f>Tableau3[[#This Row],[CODE]]</f>
        <v>0</v>
      </c>
      <c r="N155" s="8">
        <f>IFERROR(SEARCH(SAV!$M$6,B155),0)</f>
        <v>0</v>
      </c>
      <c r="O155" s="8" t="str">
        <f>IF(N155=0,"",COUNTIF($N$2:N155,1))</f>
        <v/>
      </c>
      <c r="P155" s="8" t="str">
        <f>IFERROR(INDEX(B:B,MATCH(ROW(O154),O:O,0)),"")</f>
        <v/>
      </c>
    </row>
    <row r="156" spans="2:16" ht="78.75">
      <c r="B156" s="7"/>
      <c r="F156" s="4"/>
      <c r="G156" s="5"/>
      <c r="H156" s="6"/>
      <c r="I156" s="226"/>
      <c r="J156" s="226"/>
      <c r="K156" s="226"/>
      <c r="L156" s="226"/>
      <c r="M156" s="8">
        <f>Tableau3[[#This Row],[CODE]]</f>
        <v>0</v>
      </c>
      <c r="N156" s="8">
        <f>IFERROR(SEARCH(SAV!$M$6,B156),0)</f>
        <v>0</v>
      </c>
      <c r="O156" s="8" t="str">
        <f>IF(N156=0,"",COUNTIF($N$2:N156,1))</f>
        <v/>
      </c>
      <c r="P156" s="8" t="str">
        <f>IFERROR(INDEX(B:B,MATCH(ROW(O155),O:O,0)),"")</f>
        <v/>
      </c>
    </row>
    <row r="157" spans="2:16" ht="180">
      <c r="B157" s="7"/>
      <c r="F157" s="4"/>
      <c r="G157" s="5"/>
      <c r="H157" s="6"/>
      <c r="I157" s="226"/>
      <c r="J157" s="226"/>
      <c r="K157" s="226"/>
      <c r="L157" s="226"/>
      <c r="M157" s="8">
        <f>Tableau3[[#This Row],[CODE]]</f>
        <v>0</v>
      </c>
      <c r="N157" s="8">
        <f>IFERROR(SEARCH(SAV!$M$6,B157),0)</f>
        <v>0</v>
      </c>
      <c r="O157" s="8" t="str">
        <f>IF(N157=0,"",COUNTIF($N$2:N157,1))</f>
        <v/>
      </c>
      <c r="P157" s="8" t="str">
        <f>IFERROR(INDEX(B:B,MATCH(ROW(O156),O:O,0)),"")</f>
        <v/>
      </c>
    </row>
    <row r="158" spans="2:16" ht="90">
      <c r="B158" s="7"/>
      <c r="F158" s="4"/>
      <c r="G158" s="5"/>
      <c r="H158" s="6"/>
      <c r="I158" s="226"/>
      <c r="J158" s="226"/>
      <c r="K158" s="226"/>
      <c r="L158" s="226"/>
      <c r="M158" s="8">
        <f>Tableau3[[#This Row],[CODE]]</f>
        <v>0</v>
      </c>
      <c r="N158" s="8">
        <f>IFERROR(SEARCH(SAV!$M$6,B158),0)</f>
        <v>0</v>
      </c>
      <c r="O158" s="8" t="str">
        <f>IF(N158=0,"",COUNTIF($N$2:N158,1))</f>
        <v/>
      </c>
      <c r="P158" s="8" t="str">
        <f>IFERROR(INDEX(B:B,MATCH(ROW(O157),O:O,0)),"")</f>
        <v/>
      </c>
    </row>
    <row r="159" spans="2:16" ht="45">
      <c r="B159" s="7"/>
      <c r="F159" s="4"/>
      <c r="G159" s="5"/>
      <c r="H159" s="6"/>
      <c r="I159" s="226"/>
      <c r="J159" s="226"/>
      <c r="K159" s="226"/>
      <c r="L159" s="226"/>
      <c r="M159" s="8">
        <f>Tableau3[[#This Row],[CODE]]</f>
        <v>0</v>
      </c>
      <c r="N159" s="8">
        <f>IFERROR(SEARCH(SAV!$M$6,B159),0)</f>
        <v>0</v>
      </c>
      <c r="O159" s="8" t="str">
        <f>IF(N159=0,"",COUNTIF($N$2:N159,1))</f>
        <v/>
      </c>
      <c r="P159" s="8" t="str">
        <f>IFERROR(INDEX(B:B,MATCH(ROW(O158),O:O,0)),"")</f>
        <v/>
      </c>
    </row>
    <row r="160" spans="2:16" ht="33.75">
      <c r="B160" s="7"/>
      <c r="F160" s="4"/>
      <c r="G160" s="5"/>
      <c r="H160" s="6"/>
      <c r="I160" s="226"/>
      <c r="J160" s="226"/>
      <c r="K160" s="226"/>
      <c r="L160" s="226"/>
      <c r="M160" s="8">
        <f>Tableau3[[#This Row],[CODE]]</f>
        <v>0</v>
      </c>
      <c r="N160" s="8">
        <f>IFERROR(SEARCH(SAV!$M$6,B160),0)</f>
        <v>0</v>
      </c>
      <c r="O160" s="8" t="str">
        <f>IF(N160=0,"",COUNTIF($N$2:N160,1))</f>
        <v/>
      </c>
      <c r="P160" s="8" t="str">
        <f>IFERROR(INDEX(B:B,MATCH(ROW(O159),O:O,0)),"")</f>
        <v/>
      </c>
    </row>
    <row r="161" spans="2:16" ht="22.5">
      <c r="B161" s="7"/>
      <c r="F161" s="4"/>
      <c r="G161" s="5"/>
      <c r="H161" s="6"/>
      <c r="I161" s="226"/>
      <c r="J161" s="226"/>
      <c r="K161" s="226"/>
      <c r="L161" s="226"/>
      <c r="M161" s="8">
        <f>Tableau3[[#This Row],[CODE]]</f>
        <v>0</v>
      </c>
      <c r="N161" s="8">
        <f>IFERROR(SEARCH(SAV!$M$6,B161),0)</f>
        <v>0</v>
      </c>
      <c r="O161" s="8" t="str">
        <f>IF(N161=0,"",COUNTIF($N$2:N161,1))</f>
        <v/>
      </c>
      <c r="P161" s="8" t="str">
        <f>IFERROR(INDEX(B:B,MATCH(ROW(O160),O:O,0)),"")</f>
        <v/>
      </c>
    </row>
    <row r="162" spans="2:16" ht="33.75">
      <c r="B162" s="7"/>
      <c r="F162" s="4"/>
      <c r="G162" s="5"/>
      <c r="H162" s="6"/>
      <c r="I162" s="226"/>
      <c r="J162" s="226"/>
      <c r="K162" s="226"/>
      <c r="L162" s="226"/>
      <c r="M162" s="8">
        <f>Tableau3[[#This Row],[CODE]]</f>
        <v>0</v>
      </c>
      <c r="N162" s="8">
        <f>IFERROR(SEARCH(SAV!$M$6,B162),0)</f>
        <v>0</v>
      </c>
      <c r="O162" s="8" t="str">
        <f>IF(N162=0,"",COUNTIF($N$2:N162,1))</f>
        <v/>
      </c>
      <c r="P162" s="8" t="str">
        <f>IFERROR(INDEX(B:B,MATCH(ROW(O161),O:O,0)),"")</f>
        <v/>
      </c>
    </row>
    <row r="163" spans="2:16" ht="22.5">
      <c r="B163" s="7"/>
      <c r="F163" s="4"/>
      <c r="G163" s="5"/>
      <c r="H163" s="6"/>
      <c r="I163" s="226"/>
      <c r="J163" s="226"/>
      <c r="K163" s="226"/>
      <c r="L163" s="226"/>
      <c r="M163" s="8">
        <f>Tableau3[[#This Row],[CODE]]</f>
        <v>0</v>
      </c>
      <c r="N163" s="8">
        <f>IFERROR(SEARCH(SAV!$M$6,B163),0)</f>
        <v>0</v>
      </c>
      <c r="O163" s="8" t="str">
        <f>IF(N163=0,"",COUNTIF($N$2:N163,1))</f>
        <v/>
      </c>
      <c r="P163" s="8" t="str">
        <f>IFERROR(INDEX(B:B,MATCH(ROW(O162),O:O,0)),"")</f>
        <v/>
      </c>
    </row>
    <row r="164" spans="2:16" ht="45">
      <c r="B164" s="7"/>
      <c r="F164" s="4"/>
      <c r="G164" s="5"/>
      <c r="H164" s="6"/>
      <c r="I164" s="226"/>
      <c r="J164" s="226"/>
      <c r="K164" s="226"/>
      <c r="L164" s="226"/>
      <c r="M164" s="8">
        <f>Tableau3[[#This Row],[CODE]]</f>
        <v>0</v>
      </c>
      <c r="N164" s="8">
        <f>IFERROR(SEARCH(SAV!$M$6,B164),0)</f>
        <v>0</v>
      </c>
      <c r="O164" s="8" t="str">
        <f>IF(N164=0,"",COUNTIF($N$2:N164,1))</f>
        <v/>
      </c>
      <c r="P164" s="8" t="str">
        <f>IFERROR(INDEX(B:B,MATCH(ROW(O163),O:O,0)),"")</f>
        <v/>
      </c>
    </row>
    <row r="165" spans="2:16" ht="22.5">
      <c r="B165" s="7"/>
      <c r="F165" s="4"/>
      <c r="G165" s="5"/>
      <c r="H165" s="6"/>
      <c r="I165" s="226"/>
      <c r="J165" s="226"/>
      <c r="K165" s="226"/>
      <c r="L165" s="226"/>
      <c r="M165" s="8">
        <f>Tableau3[[#This Row],[CODE]]</f>
        <v>0</v>
      </c>
      <c r="N165" s="8">
        <f>IFERROR(SEARCH(SAV!$M$6,B165),0)</f>
        <v>0</v>
      </c>
      <c r="O165" s="8" t="str">
        <f>IF(N165=0,"",COUNTIF($N$2:N165,1))</f>
        <v/>
      </c>
      <c r="P165" s="8" t="str">
        <f>IFERROR(INDEX(B:B,MATCH(ROW(O164),O:O,0)),"")</f>
        <v/>
      </c>
    </row>
    <row r="166" spans="2:16" ht="22.5">
      <c r="B166" s="7"/>
      <c r="F166" s="4"/>
      <c r="G166" s="5"/>
      <c r="H166" s="6"/>
      <c r="I166" s="226"/>
      <c r="J166" s="226"/>
      <c r="K166" s="226"/>
      <c r="L166" s="226"/>
      <c r="M166" s="8">
        <f>Tableau3[[#This Row],[CODE]]</f>
        <v>0</v>
      </c>
      <c r="N166" s="8">
        <f>IFERROR(SEARCH(SAV!$M$6,B166),0)</f>
        <v>0</v>
      </c>
      <c r="O166" s="8" t="str">
        <f>IF(N166=0,"",COUNTIF($N$2:N166,1))</f>
        <v/>
      </c>
      <c r="P166" s="8" t="str">
        <f>IFERROR(INDEX(B:B,MATCH(ROW(O165),O:O,0)),"")</f>
        <v/>
      </c>
    </row>
    <row r="167" spans="2:16" ht="33.75">
      <c r="B167" s="7"/>
      <c r="F167" s="4"/>
      <c r="G167" s="5"/>
      <c r="H167" s="6"/>
      <c r="I167" s="226"/>
      <c r="J167" s="226"/>
      <c r="K167" s="226"/>
      <c r="L167" s="226"/>
      <c r="M167" s="8">
        <f>Tableau3[[#This Row],[CODE]]</f>
        <v>0</v>
      </c>
      <c r="N167" s="8">
        <f>IFERROR(SEARCH(SAV!$M$6,B167),0)</f>
        <v>0</v>
      </c>
      <c r="O167" s="8" t="str">
        <f>IF(N167=0,"",COUNTIF($N$2:N167,1))</f>
        <v/>
      </c>
      <c r="P167" s="8" t="str">
        <f>IFERROR(INDEX(B:B,MATCH(ROW(O166),O:O,0)),"")</f>
        <v/>
      </c>
    </row>
    <row r="168" spans="2:16" ht="33.75">
      <c r="B168" s="7"/>
      <c r="F168" s="4"/>
      <c r="G168" s="5"/>
      <c r="H168" s="6"/>
      <c r="I168" s="226"/>
      <c r="J168" s="226"/>
      <c r="K168" s="226"/>
      <c r="L168" s="226"/>
      <c r="M168" s="8">
        <f>Tableau3[[#This Row],[CODE]]</f>
        <v>0</v>
      </c>
      <c r="N168" s="8">
        <f>IFERROR(SEARCH(SAV!$M$6,B168),0)</f>
        <v>0</v>
      </c>
      <c r="O168" s="8" t="str">
        <f>IF(N168=0,"",COUNTIF($N$2:N168,1))</f>
        <v/>
      </c>
      <c r="P168" s="8" t="str">
        <f>IFERROR(INDEX(B:B,MATCH(ROW(O167),O:O,0)),"")</f>
        <v/>
      </c>
    </row>
    <row r="169" spans="2:16" ht="33.75">
      <c r="B169" s="7"/>
      <c r="F169" s="4"/>
      <c r="G169" s="5"/>
      <c r="H169" s="6"/>
      <c r="I169" s="226"/>
      <c r="J169" s="226"/>
      <c r="K169" s="226"/>
      <c r="L169" s="226"/>
      <c r="M169" s="8">
        <f>Tableau3[[#This Row],[CODE]]</f>
        <v>0</v>
      </c>
      <c r="N169" s="8">
        <f>IFERROR(SEARCH(SAV!$M$6,B169),0)</f>
        <v>0</v>
      </c>
      <c r="O169" s="8" t="str">
        <f>IF(N169=0,"",COUNTIF($N$2:N169,1))</f>
        <v/>
      </c>
      <c r="P169" s="8" t="str">
        <f>IFERROR(INDEX(B:B,MATCH(ROW(O168),O:O,0)),"")</f>
        <v/>
      </c>
    </row>
    <row r="170" spans="2:16" ht="67.5">
      <c r="B170" s="7"/>
      <c r="F170" s="4"/>
      <c r="G170" s="5"/>
      <c r="H170" s="6"/>
      <c r="I170" s="226"/>
      <c r="J170" s="226"/>
      <c r="K170" s="226"/>
      <c r="L170" s="226"/>
      <c r="M170" s="8">
        <f>Tableau3[[#This Row],[CODE]]</f>
        <v>0</v>
      </c>
      <c r="N170" s="8">
        <f>IFERROR(SEARCH(SAV!$M$6,B170),0)</f>
        <v>0</v>
      </c>
      <c r="O170" s="8" t="str">
        <f>IF(N170=0,"",COUNTIF($N$2:N170,1))</f>
        <v/>
      </c>
      <c r="P170" s="8" t="str">
        <f>IFERROR(INDEX(B:B,MATCH(ROW(O169),O:O,0)),"")</f>
        <v/>
      </c>
    </row>
    <row r="171" spans="2:16" ht="22.5">
      <c r="B171" s="7"/>
      <c r="F171" s="4"/>
      <c r="G171" s="5"/>
      <c r="H171" s="6"/>
      <c r="I171" s="226"/>
      <c r="J171" s="226"/>
      <c r="K171" s="226"/>
      <c r="L171" s="226"/>
      <c r="M171" s="8">
        <f>Tableau3[[#This Row],[CODE]]</f>
        <v>0</v>
      </c>
      <c r="N171" s="8">
        <f>IFERROR(SEARCH(SAV!$M$6,B171),0)</f>
        <v>0</v>
      </c>
      <c r="O171" s="8" t="str">
        <f>IF(N171=0,"",COUNTIF($N$2:N171,1))</f>
        <v/>
      </c>
      <c r="P171" s="8" t="str">
        <f>IFERROR(INDEX(B:B,MATCH(ROW(O170),O:O,0)),"")</f>
        <v/>
      </c>
    </row>
    <row r="172" spans="2:16" ht="33.75">
      <c r="B172" s="7"/>
      <c r="F172" s="4"/>
      <c r="G172" s="5"/>
      <c r="H172" s="6"/>
      <c r="I172" s="226"/>
      <c r="J172" s="226"/>
      <c r="K172" s="226"/>
      <c r="L172" s="226"/>
      <c r="M172" s="8">
        <f>Tableau3[[#This Row],[CODE]]</f>
        <v>0</v>
      </c>
      <c r="N172" s="8">
        <f>IFERROR(SEARCH(SAV!$M$6,B172),0)</f>
        <v>0</v>
      </c>
      <c r="O172" s="8" t="str">
        <f>IF(N172=0,"",COUNTIF($N$2:N172,1))</f>
        <v/>
      </c>
      <c r="P172" s="8" t="str">
        <f>IFERROR(INDEX(B:B,MATCH(ROW(O171),O:O,0)),"")</f>
        <v/>
      </c>
    </row>
    <row r="173" spans="2:16">
      <c r="B173" s="7"/>
      <c r="F173" s="4"/>
      <c r="G173" s="5"/>
      <c r="H173" s="6"/>
      <c r="I173" s="226"/>
      <c r="J173" s="226"/>
      <c r="K173" s="226"/>
      <c r="L173" s="226"/>
      <c r="M173" s="8">
        <f>Tableau3[[#This Row],[CODE]]</f>
        <v>0</v>
      </c>
      <c r="N173" s="8">
        <f>IFERROR(SEARCH(SAV!$M$6,B173),0)</f>
        <v>0</v>
      </c>
      <c r="O173" s="8" t="str">
        <f>IF(N173=0,"",COUNTIF($N$2:N173,1))</f>
        <v/>
      </c>
      <c r="P173" s="8" t="str">
        <f>IFERROR(INDEX(B:B,MATCH(ROW(O172),O:O,0)),"")</f>
        <v/>
      </c>
    </row>
    <row r="174" spans="2:16">
      <c r="B174" s="7"/>
      <c r="F174" s="4"/>
      <c r="G174" s="5"/>
      <c r="H174" s="6"/>
      <c r="I174" s="226"/>
      <c r="J174" s="226"/>
      <c r="K174" s="226"/>
      <c r="L174" s="226"/>
      <c r="M174" s="8">
        <f>Tableau3[[#This Row],[CODE]]</f>
        <v>0</v>
      </c>
      <c r="N174" s="8">
        <f>IFERROR(SEARCH(SAV!$M$6,B174),0)</f>
        <v>0</v>
      </c>
      <c r="O174" s="8" t="str">
        <f>IF(N174=0,"",COUNTIF($N$2:N174,1))</f>
        <v/>
      </c>
      <c r="P174" s="8" t="str">
        <f>IFERROR(INDEX(B:B,MATCH(ROW(O173),O:O,0)),"")</f>
        <v/>
      </c>
    </row>
    <row r="175" spans="2:16" ht="22.5">
      <c r="B175" s="7"/>
      <c r="F175" s="4"/>
      <c r="G175" s="5"/>
      <c r="H175" s="6"/>
      <c r="I175" s="226"/>
      <c r="J175" s="226"/>
      <c r="K175" s="226"/>
      <c r="L175" s="226"/>
      <c r="M175" s="8">
        <f>Tableau3[[#This Row],[CODE]]</f>
        <v>0</v>
      </c>
      <c r="N175" s="8">
        <f>IFERROR(SEARCH(SAV!$M$6,B175),0)</f>
        <v>0</v>
      </c>
      <c r="O175" s="8" t="str">
        <f>IF(N175=0,"",COUNTIF($N$2:N175,1))</f>
        <v/>
      </c>
      <c r="P175" s="8" t="str">
        <f>IFERROR(INDEX(B:B,MATCH(ROW(O174),O:O,0)),"")</f>
        <v/>
      </c>
    </row>
    <row r="176" spans="2:16" ht="22.5">
      <c r="B176" s="7"/>
      <c r="F176" s="4"/>
      <c r="G176" s="5"/>
      <c r="H176" s="6"/>
      <c r="I176" s="226"/>
      <c r="J176" s="226"/>
      <c r="K176" s="226"/>
      <c r="L176" s="226"/>
      <c r="M176" s="8">
        <f>Tableau3[[#This Row],[CODE]]</f>
        <v>0</v>
      </c>
      <c r="N176" s="8">
        <f>IFERROR(SEARCH(SAV!$M$6,B176),0)</f>
        <v>0</v>
      </c>
      <c r="O176" s="8" t="str">
        <f>IF(N176=0,"",COUNTIF($N$2:N176,1))</f>
        <v/>
      </c>
      <c r="P176" s="8" t="str">
        <f>IFERROR(INDEX(B:B,MATCH(ROW(O175),O:O,0)),"")</f>
        <v/>
      </c>
    </row>
    <row r="177" spans="2:16" ht="22.5">
      <c r="B177" s="7"/>
      <c r="F177" s="4"/>
      <c r="G177" s="5"/>
      <c r="H177" s="6"/>
      <c r="I177" s="226"/>
      <c r="J177" s="226"/>
      <c r="K177" s="226"/>
      <c r="L177" s="226"/>
      <c r="M177" s="8">
        <f>Tableau3[[#This Row],[CODE]]</f>
        <v>0</v>
      </c>
      <c r="N177" s="8">
        <f>IFERROR(SEARCH(SAV!$M$6,B177),0)</f>
        <v>0</v>
      </c>
      <c r="O177" s="8" t="str">
        <f>IF(N177=0,"",COUNTIF($N$2:N177,1))</f>
        <v/>
      </c>
      <c r="P177" s="8" t="str">
        <f>IFERROR(INDEX(B:B,MATCH(ROW(O176),O:O,0)),"")</f>
        <v/>
      </c>
    </row>
    <row r="178" spans="2:16" ht="22.5">
      <c r="B178" s="7"/>
      <c r="F178" s="4"/>
      <c r="G178" s="5"/>
      <c r="H178" s="6"/>
      <c r="I178" s="226"/>
      <c r="J178" s="226"/>
      <c r="K178" s="226"/>
      <c r="L178" s="226"/>
      <c r="M178" s="8">
        <f>Tableau3[[#This Row],[CODE]]</f>
        <v>0</v>
      </c>
      <c r="N178" s="8">
        <f>IFERROR(SEARCH(SAV!$M$6,B178),0)</f>
        <v>0</v>
      </c>
      <c r="O178" s="8" t="str">
        <f>IF(N178=0,"",COUNTIF($N$2:N178,1))</f>
        <v/>
      </c>
      <c r="P178" s="8" t="str">
        <f>IFERROR(INDEX(B:B,MATCH(ROW(O177),O:O,0)),"")</f>
        <v/>
      </c>
    </row>
    <row r="179" spans="2:16" ht="33.75">
      <c r="B179" s="7"/>
      <c r="F179" s="4"/>
      <c r="G179" s="5"/>
      <c r="H179" s="6"/>
      <c r="I179" s="226"/>
      <c r="J179" s="226"/>
      <c r="K179" s="226"/>
      <c r="L179" s="226"/>
      <c r="M179" s="8">
        <f>Tableau3[[#This Row],[CODE]]</f>
        <v>0</v>
      </c>
      <c r="N179" s="8">
        <f>IFERROR(SEARCH(SAV!$M$6,B179),0)</f>
        <v>0</v>
      </c>
      <c r="O179" s="8" t="str">
        <f>IF(N179=0,"",COUNTIF($N$2:N179,1))</f>
        <v/>
      </c>
      <c r="P179" s="8" t="str">
        <f>IFERROR(INDEX(B:B,MATCH(ROW(O178),O:O,0)),"")</f>
        <v/>
      </c>
    </row>
    <row r="180" spans="2:16" ht="33.75">
      <c r="B180" s="7"/>
      <c r="F180" s="4"/>
      <c r="G180" s="5"/>
      <c r="H180" s="6"/>
      <c r="I180" s="226"/>
      <c r="J180" s="226"/>
      <c r="K180" s="226"/>
      <c r="L180" s="226"/>
      <c r="M180" s="8">
        <f>Tableau3[[#This Row],[CODE]]</f>
        <v>0</v>
      </c>
      <c r="N180" s="8">
        <f>IFERROR(SEARCH(SAV!$M$6,B180),0)</f>
        <v>0</v>
      </c>
      <c r="O180" s="8" t="str">
        <f>IF(N180=0,"",COUNTIF($N$2:N180,1))</f>
        <v/>
      </c>
      <c r="P180" s="8" t="str">
        <f>IFERROR(INDEX(B:B,MATCH(ROW(O179),O:O,0)),"")</f>
        <v/>
      </c>
    </row>
    <row r="181" spans="2:16" ht="33.75">
      <c r="B181" s="7"/>
      <c r="F181" s="4"/>
      <c r="G181" s="5"/>
      <c r="H181" s="6"/>
      <c r="I181" s="226"/>
      <c r="J181" s="226"/>
      <c r="K181" s="226"/>
      <c r="L181" s="226"/>
      <c r="M181" s="8">
        <f>Tableau3[[#This Row],[CODE]]</f>
        <v>0</v>
      </c>
      <c r="N181" s="8">
        <f>IFERROR(SEARCH(SAV!$M$6,B181),0)</f>
        <v>0</v>
      </c>
      <c r="O181" s="8" t="str">
        <f>IF(N181=0,"",COUNTIF($N$2:N181,1))</f>
        <v/>
      </c>
      <c r="P181" s="8" t="str">
        <f>IFERROR(INDEX(B:B,MATCH(ROW(O180),O:O,0)),"")</f>
        <v/>
      </c>
    </row>
    <row r="182" spans="2:16" ht="22.5">
      <c r="B182" s="7"/>
      <c r="F182" s="4"/>
      <c r="G182" s="5"/>
      <c r="H182" s="6"/>
      <c r="I182" s="226"/>
      <c r="J182" s="226"/>
      <c r="K182" s="226"/>
      <c r="L182" s="226"/>
      <c r="M182" s="8">
        <f>Tableau3[[#This Row],[CODE]]</f>
        <v>0</v>
      </c>
      <c r="N182" s="8">
        <f>IFERROR(SEARCH(SAV!$M$6,B182),0)</f>
        <v>0</v>
      </c>
      <c r="O182" s="8" t="str">
        <f>IF(N182=0,"",COUNTIF($N$2:N182,1))</f>
        <v/>
      </c>
      <c r="P182" s="8" t="str">
        <f>IFERROR(INDEX(B:B,MATCH(ROW(O181),O:O,0)),"")</f>
        <v/>
      </c>
    </row>
    <row r="183" spans="2:16" ht="33.75">
      <c r="B183" s="7"/>
      <c r="F183" s="4"/>
      <c r="G183" s="5"/>
      <c r="H183" s="6"/>
      <c r="I183" s="226"/>
      <c r="J183" s="226"/>
      <c r="K183" s="226"/>
      <c r="L183" s="226"/>
      <c r="M183" s="8">
        <f>Tableau3[[#This Row],[CODE]]</f>
        <v>0</v>
      </c>
      <c r="N183" s="8">
        <f>IFERROR(SEARCH(SAV!$M$6,B183),0)</f>
        <v>0</v>
      </c>
      <c r="O183" s="8" t="str">
        <f>IF(N183=0,"",COUNTIF($N$2:N183,1))</f>
        <v/>
      </c>
      <c r="P183" s="8" t="str">
        <f>IFERROR(INDEX(B:B,MATCH(ROW(O182),O:O,0)),"")</f>
        <v/>
      </c>
    </row>
    <row r="184" spans="2:16" ht="33.75">
      <c r="B184" s="7"/>
      <c r="F184" s="4"/>
      <c r="G184" s="5"/>
      <c r="H184" s="6"/>
      <c r="I184" s="226"/>
      <c r="J184" s="226"/>
      <c r="K184" s="226"/>
      <c r="L184" s="226"/>
      <c r="M184" s="8">
        <f>Tableau3[[#This Row],[CODE]]</f>
        <v>0</v>
      </c>
      <c r="N184" s="8">
        <f>IFERROR(SEARCH(SAV!$M$6,B184),0)</f>
        <v>0</v>
      </c>
      <c r="O184" s="8" t="str">
        <f>IF(N184=0,"",COUNTIF($N$2:N184,1))</f>
        <v/>
      </c>
      <c r="P184" s="8" t="str">
        <f>IFERROR(INDEX(B:B,MATCH(ROW(O183),O:O,0)),"")</f>
        <v/>
      </c>
    </row>
    <row r="185" spans="2:16">
      <c r="B185" s="7"/>
      <c r="F185" s="4"/>
      <c r="G185" s="5"/>
      <c r="H185" s="6"/>
      <c r="I185" s="226"/>
      <c r="J185" s="226"/>
      <c r="K185" s="226"/>
      <c r="L185" s="226"/>
      <c r="M185" s="8">
        <f>Tableau3[[#This Row],[CODE]]</f>
        <v>0</v>
      </c>
      <c r="N185" s="8">
        <f>IFERROR(SEARCH(SAV!$M$6,B185),0)</f>
        <v>0</v>
      </c>
      <c r="O185" s="8" t="str">
        <f>IF(N185=0,"",COUNTIF($N$2:N185,1))</f>
        <v/>
      </c>
      <c r="P185" s="8" t="str">
        <f>IFERROR(INDEX(B:B,MATCH(ROW(O184),O:O,0)),"")</f>
        <v/>
      </c>
    </row>
    <row r="186" spans="2:16" ht="33.75">
      <c r="B186" s="7"/>
      <c r="F186" s="4"/>
      <c r="G186" s="5"/>
      <c r="H186" s="6"/>
      <c r="I186" s="226"/>
      <c r="J186" s="226"/>
      <c r="K186" s="226"/>
      <c r="L186" s="226"/>
      <c r="M186" s="8">
        <f>Tableau3[[#This Row],[CODE]]</f>
        <v>0</v>
      </c>
      <c r="N186" s="8">
        <f>IFERROR(SEARCH(SAV!$M$6,B186),0)</f>
        <v>0</v>
      </c>
      <c r="O186" s="8" t="str">
        <f>IF(N186=0,"",COUNTIF($N$2:N186,1))</f>
        <v/>
      </c>
      <c r="P186" s="8" t="str">
        <f>IFERROR(INDEX(B:B,MATCH(ROW(O185),O:O,0)),"")</f>
        <v/>
      </c>
    </row>
    <row r="187" spans="2:16" ht="22.5">
      <c r="B187" s="7"/>
      <c r="F187" s="4"/>
      <c r="G187" s="5"/>
      <c r="H187" s="6"/>
      <c r="I187" s="226"/>
      <c r="J187" s="226"/>
      <c r="K187" s="226"/>
      <c r="L187" s="226"/>
      <c r="M187" s="8">
        <f>Tableau3[[#This Row],[CODE]]</f>
        <v>0</v>
      </c>
      <c r="N187" s="8">
        <f>IFERROR(SEARCH(SAV!$M$6,B187),0)</f>
        <v>0</v>
      </c>
      <c r="O187" s="8" t="str">
        <f>IF(N187=0,"",COUNTIF($N$2:N187,1))</f>
        <v/>
      </c>
      <c r="P187" s="8" t="str">
        <f>IFERROR(INDEX(B:B,MATCH(ROW(O186),O:O,0)),"")</f>
        <v/>
      </c>
    </row>
    <row r="188" spans="2:16" ht="45">
      <c r="B188" s="7"/>
      <c r="F188" s="4"/>
      <c r="G188" s="5"/>
      <c r="H188" s="6"/>
      <c r="I188" s="226"/>
      <c r="J188" s="226"/>
      <c r="K188" s="226"/>
      <c r="L188" s="226"/>
      <c r="M188" s="8">
        <f>Tableau3[[#This Row],[CODE]]</f>
        <v>0</v>
      </c>
      <c r="N188" s="8">
        <f>IFERROR(SEARCH(SAV!$M$6,B188),0)</f>
        <v>0</v>
      </c>
      <c r="O188" s="8" t="str">
        <f>IF(N188=0,"",COUNTIF($N$2:N188,1))</f>
        <v/>
      </c>
      <c r="P188" s="8" t="str">
        <f>IFERROR(INDEX(B:B,MATCH(ROW(O187),O:O,0)),"")</f>
        <v/>
      </c>
    </row>
    <row r="189" spans="2:16" ht="33.75">
      <c r="B189" s="7"/>
      <c r="F189" s="4"/>
      <c r="G189" s="5"/>
      <c r="H189" s="6"/>
      <c r="I189" s="226"/>
      <c r="J189" s="226"/>
      <c r="K189" s="226"/>
      <c r="L189" s="226"/>
      <c r="M189" s="8">
        <f>Tableau3[[#This Row],[CODE]]</f>
        <v>0</v>
      </c>
      <c r="N189" s="8">
        <f>IFERROR(SEARCH(SAV!$M$6,B189),0)</f>
        <v>0</v>
      </c>
      <c r="O189" s="8" t="str">
        <f>IF(N189=0,"",COUNTIF($N$2:N189,1))</f>
        <v/>
      </c>
      <c r="P189" s="8" t="str">
        <f>IFERROR(INDEX(B:B,MATCH(ROW(O188),O:O,0)),"")</f>
        <v/>
      </c>
    </row>
    <row r="190" spans="2:16" ht="45">
      <c r="B190" s="7"/>
      <c r="F190" s="4"/>
      <c r="G190" s="5"/>
      <c r="H190" s="6"/>
      <c r="I190" s="226"/>
      <c r="J190" s="226"/>
      <c r="K190" s="226"/>
      <c r="L190" s="226"/>
      <c r="M190" s="8">
        <f>Tableau3[[#This Row],[CODE]]</f>
        <v>0</v>
      </c>
      <c r="N190" s="8">
        <f>IFERROR(SEARCH(SAV!$M$6,B190),0)</f>
        <v>0</v>
      </c>
      <c r="O190" s="8" t="str">
        <f>IF(N190=0,"",COUNTIF($N$2:N190,1))</f>
        <v/>
      </c>
      <c r="P190" s="8" t="str">
        <f>IFERROR(INDEX(B:B,MATCH(ROW(O189),O:O,0)),"")</f>
        <v/>
      </c>
    </row>
    <row r="191" spans="2:16" ht="56.25">
      <c r="B191" s="7"/>
      <c r="F191" s="4"/>
      <c r="G191" s="5"/>
      <c r="H191" s="6"/>
      <c r="I191" s="226"/>
      <c r="J191" s="226"/>
      <c r="K191" s="226"/>
      <c r="L191" s="226"/>
      <c r="M191" s="8">
        <f>Tableau3[[#This Row],[CODE]]</f>
        <v>0</v>
      </c>
      <c r="N191" s="8">
        <f>IFERROR(SEARCH(SAV!$M$6,B191),0)</f>
        <v>0</v>
      </c>
      <c r="O191" s="8" t="str">
        <f>IF(N191=0,"",COUNTIF($N$2:N191,1))</f>
        <v/>
      </c>
      <c r="P191" s="8" t="str">
        <f>IFERROR(INDEX(B:B,MATCH(ROW(O190),O:O,0)),"")</f>
        <v/>
      </c>
    </row>
    <row r="192" spans="2:16" ht="56.25">
      <c r="B192" s="7"/>
      <c r="F192" s="4"/>
      <c r="G192" s="5"/>
      <c r="H192" s="6"/>
      <c r="I192" s="226"/>
      <c r="J192" s="226"/>
      <c r="K192" s="226"/>
      <c r="L192" s="226"/>
      <c r="M192" s="8">
        <f>Tableau3[[#This Row],[CODE]]</f>
        <v>0</v>
      </c>
      <c r="N192" s="8">
        <f>IFERROR(SEARCH(SAV!$M$6,B192),0)</f>
        <v>0</v>
      </c>
      <c r="O192" s="8" t="str">
        <f>IF(N192=0,"",COUNTIF($N$2:N192,1))</f>
        <v/>
      </c>
      <c r="P192" s="8" t="str">
        <f>IFERROR(INDEX(B:B,MATCH(ROW(O191),O:O,0)),"")</f>
        <v/>
      </c>
    </row>
    <row r="193" spans="2:16" ht="33.75">
      <c r="B193" s="7"/>
      <c r="F193" s="4"/>
      <c r="G193" s="5"/>
      <c r="H193" s="6"/>
      <c r="I193" s="226"/>
      <c r="J193" s="226"/>
      <c r="K193" s="226"/>
      <c r="L193" s="226"/>
      <c r="M193" s="8">
        <f>Tableau3[[#This Row],[CODE]]</f>
        <v>0</v>
      </c>
      <c r="N193" s="8">
        <f>IFERROR(SEARCH(SAV!$M$6,B193),0)</f>
        <v>0</v>
      </c>
      <c r="O193" s="8" t="str">
        <f>IF(N193=0,"",COUNTIF($N$2:N193,1))</f>
        <v/>
      </c>
      <c r="P193" s="8" t="str">
        <f>IFERROR(INDEX(B:B,MATCH(ROW(O192),O:O,0)),"")</f>
        <v/>
      </c>
    </row>
    <row r="194" spans="2:16" ht="22.5">
      <c r="B194" s="7"/>
      <c r="F194" s="4"/>
      <c r="G194" s="5"/>
      <c r="H194" s="6"/>
      <c r="I194" s="226"/>
      <c r="J194" s="226"/>
      <c r="K194" s="226"/>
      <c r="L194" s="226"/>
      <c r="M194" s="8">
        <f>Tableau3[[#This Row],[CODE]]</f>
        <v>0</v>
      </c>
      <c r="N194" s="8">
        <f>IFERROR(SEARCH(SAV!$M$6,B194),0)</f>
        <v>0</v>
      </c>
      <c r="O194" s="8" t="str">
        <f>IF(N194=0,"",COUNTIF($N$2:N194,1))</f>
        <v/>
      </c>
      <c r="P194" s="8" t="str">
        <f>IFERROR(INDEX(B:B,MATCH(ROW(O193),O:O,0)),"")</f>
        <v/>
      </c>
    </row>
    <row r="195" spans="2:16" ht="45">
      <c r="B195" s="7"/>
      <c r="F195" s="4"/>
      <c r="G195" s="5"/>
      <c r="H195" s="6"/>
      <c r="I195" s="226"/>
      <c r="J195" s="226"/>
      <c r="K195" s="226"/>
      <c r="L195" s="226"/>
      <c r="M195" s="8">
        <f>Tableau3[[#This Row],[CODE]]</f>
        <v>0</v>
      </c>
      <c r="N195" s="8">
        <f>IFERROR(SEARCH(SAV!$M$6,B195),0)</f>
        <v>0</v>
      </c>
      <c r="O195" s="8" t="str">
        <f>IF(N195=0,"",COUNTIF($N$2:N195,1))</f>
        <v/>
      </c>
      <c r="P195" s="8" t="str">
        <f>IFERROR(INDEX(B:B,MATCH(ROW(O194),O:O,0)),"")</f>
        <v/>
      </c>
    </row>
    <row r="196" spans="2:16" ht="45">
      <c r="B196" s="7"/>
      <c r="F196" s="4"/>
      <c r="G196" s="5"/>
      <c r="H196" s="6"/>
      <c r="I196" s="226"/>
      <c r="J196" s="226"/>
      <c r="K196" s="226"/>
      <c r="L196" s="226"/>
      <c r="M196" s="8">
        <f>Tableau3[[#This Row],[CODE]]</f>
        <v>0</v>
      </c>
      <c r="N196" s="8">
        <f>IFERROR(SEARCH(SAV!$M$6,B196),0)</f>
        <v>0</v>
      </c>
      <c r="O196" s="8" t="str">
        <f>IF(N196=0,"",COUNTIF($N$2:N196,1))</f>
        <v/>
      </c>
      <c r="P196" s="8" t="str">
        <f>IFERROR(INDEX(B:B,MATCH(ROW(O195),O:O,0)),"")</f>
        <v/>
      </c>
    </row>
    <row r="197" spans="2:16" ht="33.75">
      <c r="B197" s="7"/>
      <c r="F197" s="4"/>
      <c r="G197" s="5"/>
      <c r="H197" s="6"/>
      <c r="I197" s="226"/>
      <c r="J197" s="226"/>
      <c r="K197" s="226"/>
      <c r="L197" s="226"/>
      <c r="M197" s="8">
        <f>Tableau3[[#This Row],[CODE]]</f>
        <v>0</v>
      </c>
      <c r="N197" s="8">
        <f>IFERROR(SEARCH(SAV!$M$6,B197),0)</f>
        <v>0</v>
      </c>
      <c r="O197" s="8" t="str">
        <f>IF(N197=0,"",COUNTIF($N$2:N197,1))</f>
        <v/>
      </c>
      <c r="P197" s="8" t="str">
        <f>IFERROR(INDEX(B:B,MATCH(ROW(O196),O:O,0)),"")</f>
        <v/>
      </c>
    </row>
    <row r="198" spans="2:16" ht="33.75">
      <c r="B198" s="7"/>
      <c r="F198" s="4"/>
      <c r="G198" s="5"/>
      <c r="H198" s="6"/>
      <c r="I198" s="226"/>
      <c r="J198" s="226"/>
      <c r="K198" s="226"/>
      <c r="L198" s="226"/>
      <c r="M198" s="8">
        <f>Tableau3[[#This Row],[CODE]]</f>
        <v>0</v>
      </c>
      <c r="N198" s="8">
        <f>IFERROR(SEARCH(SAV!$M$6,B198),0)</f>
        <v>0</v>
      </c>
      <c r="O198" s="8" t="str">
        <f>IF(N198=0,"",COUNTIF($N$2:N198,1))</f>
        <v/>
      </c>
      <c r="P198" s="8" t="str">
        <f>IFERROR(INDEX(B:B,MATCH(ROW(O197),O:O,0)),"")</f>
        <v/>
      </c>
    </row>
    <row r="199" spans="2:16" ht="33.75">
      <c r="B199" s="7"/>
      <c r="F199" s="4"/>
      <c r="G199" s="5"/>
      <c r="H199" s="6"/>
      <c r="I199" s="226"/>
      <c r="J199" s="226"/>
      <c r="K199" s="226"/>
      <c r="L199" s="226"/>
      <c r="M199" s="8">
        <f>Tableau3[[#This Row],[CODE]]</f>
        <v>0</v>
      </c>
      <c r="N199" s="8">
        <f>IFERROR(SEARCH(SAV!$M$6,B199),0)</f>
        <v>0</v>
      </c>
      <c r="O199" s="8" t="str">
        <f>IF(N199=0,"",COUNTIF($N$2:N199,1))</f>
        <v/>
      </c>
      <c r="P199" s="8" t="str">
        <f>IFERROR(INDEX(B:B,MATCH(ROW(O198),O:O,0)),"")</f>
        <v/>
      </c>
    </row>
    <row r="200" spans="2:16" ht="90">
      <c r="B200" s="7"/>
      <c r="F200" s="4"/>
      <c r="G200" s="5"/>
      <c r="H200" s="6"/>
      <c r="I200" s="226"/>
      <c r="J200" s="226"/>
      <c r="K200" s="226"/>
      <c r="L200" s="226"/>
      <c r="M200" s="8">
        <f>Tableau3[[#This Row],[CODE]]</f>
        <v>0</v>
      </c>
      <c r="N200" s="8">
        <f>IFERROR(SEARCH(SAV!$M$6,B200),0)</f>
        <v>0</v>
      </c>
      <c r="O200" s="8" t="str">
        <f>IF(N200=0,"",COUNTIF($N$2:N200,1))</f>
        <v/>
      </c>
      <c r="P200" s="8" t="str">
        <f>IFERROR(INDEX(B:B,MATCH(ROW(O199),O:O,0)),"")</f>
        <v/>
      </c>
    </row>
    <row r="201" spans="2:16" ht="90">
      <c r="B201" s="7"/>
      <c r="F201" s="4"/>
      <c r="G201" s="5"/>
      <c r="H201" s="6"/>
      <c r="I201" s="226"/>
      <c r="J201" s="226"/>
      <c r="K201" s="226"/>
      <c r="L201" s="226"/>
      <c r="M201" s="8">
        <f>Tableau3[[#This Row],[CODE]]</f>
        <v>0</v>
      </c>
      <c r="N201" s="8">
        <f>IFERROR(SEARCH(SAV!$M$6,B201),0)</f>
        <v>0</v>
      </c>
      <c r="O201" s="177" t="str">
        <f>IF(N201=0,"",COUNTIF($N$2:N300,1))</f>
        <v/>
      </c>
      <c r="P201" s="8" t="str">
        <f>IFERROR(INDEX(B:B,MATCH(ROW(O200),O:O,0)),"")</f>
        <v/>
      </c>
    </row>
    <row r="202" spans="2:16">
      <c r="B202" s="7"/>
      <c r="F202" s="4"/>
      <c r="G202" s="5"/>
      <c r="H202" s="6"/>
      <c r="I202" s="226"/>
      <c r="J202" s="226"/>
      <c r="K202" s="226"/>
      <c r="L202" s="226"/>
      <c r="M202" s="8">
        <f>Tableau3[[#This Row],[CODE]]</f>
        <v>0</v>
      </c>
      <c r="N202" s="8">
        <f>IFERROR(SEARCH(SAV!$M$6,B202),0)</f>
        <v>0</v>
      </c>
      <c r="O202" s="8" t="str">
        <f>IF(N202=0,"",COUNTIF($N$2:N202,1))</f>
        <v/>
      </c>
      <c r="P202" s="8" t="str">
        <f t="shared" ref="P202:P265" si="0">IFERROR(INDEX(B:B,MATCH(ROW(O201),O:O,0)),"")</f>
        <v/>
      </c>
    </row>
    <row r="203" spans="2:16">
      <c r="B203" s="7"/>
      <c r="F203" s="4"/>
      <c r="G203" s="5"/>
      <c r="H203" s="6"/>
      <c r="I203" s="226"/>
      <c r="J203" s="226"/>
      <c r="K203" s="226"/>
      <c r="L203" s="226"/>
      <c r="M203" s="8">
        <f>Tableau3[[#This Row],[CODE]]</f>
        <v>0</v>
      </c>
      <c r="N203" s="8">
        <f>IFERROR(SEARCH(SAV!$M$6,B203),0)</f>
        <v>0</v>
      </c>
      <c r="O203" s="8" t="str">
        <f>IF(N203=0,"",COUNTIF($N$2:N203,1))</f>
        <v/>
      </c>
      <c r="P203" s="8" t="str">
        <f t="shared" si="0"/>
        <v/>
      </c>
    </row>
    <row r="204" spans="2:16">
      <c r="B204" s="7"/>
      <c r="F204" s="4"/>
      <c r="G204" s="5"/>
      <c r="H204" s="6"/>
      <c r="I204" s="226"/>
      <c r="J204" s="226"/>
      <c r="K204" s="226"/>
      <c r="L204" s="226"/>
      <c r="M204" s="8">
        <f>Tableau3[[#This Row],[CODE]]</f>
        <v>0</v>
      </c>
      <c r="N204" s="8">
        <f>IFERROR(SEARCH(SAV!$M$6,B204),0)</f>
        <v>0</v>
      </c>
      <c r="O204" s="8" t="str">
        <f>IF(N204=0,"",COUNTIF($N$2:N204,1))</f>
        <v/>
      </c>
      <c r="P204" s="8" t="str">
        <f t="shared" si="0"/>
        <v/>
      </c>
    </row>
    <row r="205" spans="2:16">
      <c r="B205" s="7"/>
      <c r="F205" s="4"/>
      <c r="G205" s="5"/>
      <c r="H205" s="6"/>
      <c r="I205" s="226"/>
      <c r="J205" s="226"/>
      <c r="K205" s="226"/>
      <c r="L205" s="226"/>
      <c r="M205" s="8">
        <f>Tableau3[[#This Row],[CODE]]</f>
        <v>0</v>
      </c>
      <c r="N205" s="8">
        <f>IFERROR(SEARCH(SAV!$M$6,B205),0)</f>
        <v>0</v>
      </c>
      <c r="O205" s="8" t="str">
        <f>IF(N205=0,"",COUNTIF($N$2:N205,1))</f>
        <v/>
      </c>
      <c r="P205" s="8" t="str">
        <f t="shared" si="0"/>
        <v/>
      </c>
    </row>
    <row r="206" spans="2:16">
      <c r="B206" s="7"/>
      <c r="F206" s="4"/>
      <c r="G206" s="5"/>
      <c r="H206" s="6"/>
      <c r="I206" s="226"/>
      <c r="J206" s="226"/>
      <c r="K206" s="226"/>
      <c r="L206" s="226"/>
      <c r="M206" s="8">
        <f>Tableau3[[#This Row],[CODE]]</f>
        <v>0</v>
      </c>
      <c r="N206" s="8">
        <f>IFERROR(SEARCH(SAV!$M$6,B206),0)</f>
        <v>0</v>
      </c>
      <c r="O206" s="8" t="str">
        <f>IF(N206=0,"",COUNTIF($N$2:N206,1))</f>
        <v/>
      </c>
      <c r="P206" s="8" t="str">
        <f t="shared" si="0"/>
        <v/>
      </c>
    </row>
    <row r="207" spans="2:16">
      <c r="B207" s="7"/>
      <c r="F207" s="4"/>
      <c r="G207" s="5"/>
      <c r="H207" s="6"/>
      <c r="I207" s="226"/>
      <c r="J207" s="226"/>
      <c r="K207" s="226"/>
      <c r="L207" s="226"/>
      <c r="M207" s="8">
        <f>Tableau3[[#This Row],[CODE]]</f>
        <v>0</v>
      </c>
      <c r="N207" s="8">
        <f>IFERROR(SEARCH(SAV!$M$6,B207),0)</f>
        <v>0</v>
      </c>
      <c r="O207" s="8" t="str">
        <f>IF(N207=0,"",COUNTIF($N$2:N207,1))</f>
        <v/>
      </c>
      <c r="P207" s="8" t="str">
        <f t="shared" si="0"/>
        <v/>
      </c>
    </row>
    <row r="208" spans="2:16">
      <c r="B208" s="7"/>
      <c r="F208" s="4"/>
      <c r="G208" s="5"/>
      <c r="H208" s="6"/>
      <c r="I208" s="226"/>
      <c r="J208" s="226"/>
      <c r="K208" s="226"/>
      <c r="L208" s="226"/>
      <c r="M208" s="8">
        <f>Tableau3[[#This Row],[CODE]]</f>
        <v>0</v>
      </c>
      <c r="N208" s="8">
        <f>IFERROR(SEARCH(SAV!$M$6,B208),0)</f>
        <v>0</v>
      </c>
      <c r="O208" s="8" t="str">
        <f>IF(N208=0,"",COUNTIF($N$2:N208,1))</f>
        <v/>
      </c>
      <c r="P208" s="8" t="str">
        <f t="shared" si="0"/>
        <v/>
      </c>
    </row>
    <row r="209" spans="2:16">
      <c r="B209" s="7"/>
      <c r="F209" s="4"/>
      <c r="G209" s="5"/>
      <c r="H209" s="6"/>
      <c r="I209" s="226"/>
      <c r="J209" s="226"/>
      <c r="K209" s="226"/>
      <c r="L209" s="226"/>
      <c r="M209" s="8">
        <f>Tableau3[[#This Row],[CODE]]</f>
        <v>0</v>
      </c>
      <c r="N209" s="8">
        <f>IFERROR(SEARCH(SAV!$M$6,B209),0)</f>
        <v>0</v>
      </c>
      <c r="O209" s="8" t="str">
        <f>IF(N209=0,"",COUNTIF($N$2:N209,1))</f>
        <v/>
      </c>
      <c r="P209" s="8" t="str">
        <f t="shared" si="0"/>
        <v/>
      </c>
    </row>
    <row r="210" spans="2:16">
      <c r="B210" s="7"/>
      <c r="F210" s="4"/>
      <c r="G210" s="5"/>
      <c r="H210" s="6"/>
      <c r="I210" s="226"/>
      <c r="J210" s="226"/>
      <c r="K210" s="226"/>
      <c r="L210" s="226"/>
      <c r="M210" s="8">
        <f>Tableau3[[#This Row],[CODE]]</f>
        <v>0</v>
      </c>
      <c r="N210" s="8">
        <f>IFERROR(SEARCH(SAV!$M$6,B210),0)</f>
        <v>0</v>
      </c>
      <c r="O210" s="8" t="str">
        <f>IF(N210=0,"",COUNTIF($N$2:N210,1))</f>
        <v/>
      </c>
      <c r="P210" s="8" t="str">
        <f t="shared" si="0"/>
        <v/>
      </c>
    </row>
    <row r="211" spans="2:16">
      <c r="B211" s="7"/>
      <c r="F211" s="4"/>
      <c r="G211" s="5"/>
      <c r="H211" s="6"/>
      <c r="I211" s="226"/>
      <c r="J211" s="226"/>
      <c r="K211" s="226"/>
      <c r="L211" s="226"/>
      <c r="M211" s="8">
        <f>Tableau3[[#This Row],[CODE]]</f>
        <v>0</v>
      </c>
      <c r="N211" s="8">
        <f>IFERROR(SEARCH(SAV!$M$6,B211),0)</f>
        <v>0</v>
      </c>
      <c r="O211" s="8" t="str">
        <f>IF(N211=0,"",COUNTIF($N$2:N211,1))</f>
        <v/>
      </c>
      <c r="P211" s="8" t="str">
        <f t="shared" si="0"/>
        <v/>
      </c>
    </row>
    <row r="212" spans="2:16">
      <c r="B212" s="7"/>
      <c r="F212" s="4"/>
      <c r="G212" s="5"/>
      <c r="H212" s="6"/>
      <c r="I212" s="226"/>
      <c r="J212" s="226"/>
      <c r="K212" s="226"/>
      <c r="L212" s="226"/>
      <c r="M212" s="8">
        <f>Tableau3[[#This Row],[CODE]]</f>
        <v>0</v>
      </c>
      <c r="N212" s="8">
        <f>IFERROR(SEARCH(SAV!$M$6,B212),0)</f>
        <v>0</v>
      </c>
      <c r="O212" s="8" t="str">
        <f>IF(N212=0,"",COUNTIF($N$2:N212,1))</f>
        <v/>
      </c>
      <c r="P212" s="8" t="str">
        <f t="shared" si="0"/>
        <v/>
      </c>
    </row>
    <row r="213" spans="2:16">
      <c r="B213" s="7"/>
      <c r="F213" s="4"/>
      <c r="G213" s="5"/>
      <c r="H213" s="6"/>
      <c r="I213" s="226"/>
      <c r="J213" s="226"/>
      <c r="K213" s="226"/>
      <c r="L213" s="226"/>
      <c r="M213" s="8">
        <f>Tableau3[[#This Row],[CODE]]</f>
        <v>0</v>
      </c>
      <c r="N213" s="8">
        <f>IFERROR(SEARCH(SAV!$M$6,B213),0)</f>
        <v>0</v>
      </c>
      <c r="O213" s="8" t="str">
        <f>IF(N213=0,"",COUNTIF($N$2:N213,1))</f>
        <v/>
      </c>
      <c r="P213" s="8" t="str">
        <f t="shared" si="0"/>
        <v/>
      </c>
    </row>
    <row r="214" spans="2:16">
      <c r="B214" s="7"/>
      <c r="F214" s="4"/>
      <c r="G214" s="5"/>
      <c r="H214" s="6"/>
      <c r="I214" s="226"/>
      <c r="J214" s="226"/>
      <c r="K214" s="226"/>
      <c r="L214" s="226"/>
      <c r="M214" s="8">
        <f>Tableau3[[#This Row],[CODE]]</f>
        <v>0</v>
      </c>
      <c r="N214" s="8">
        <f>IFERROR(SEARCH(SAV!$M$6,B214),0)</f>
        <v>0</v>
      </c>
      <c r="O214" s="8" t="str">
        <f>IF(N214=0,"",COUNTIF($N$2:N214,1))</f>
        <v/>
      </c>
      <c r="P214" s="8" t="str">
        <f t="shared" si="0"/>
        <v/>
      </c>
    </row>
    <row r="215" spans="2:16">
      <c r="B215" s="7"/>
      <c r="F215" s="4"/>
      <c r="G215" s="5"/>
      <c r="H215" s="6"/>
      <c r="I215" s="226"/>
      <c r="J215" s="226"/>
      <c r="K215" s="226"/>
      <c r="L215" s="226"/>
      <c r="M215" s="8">
        <f>Tableau3[[#This Row],[CODE]]</f>
        <v>0</v>
      </c>
      <c r="N215" s="8">
        <f>IFERROR(SEARCH(SAV!$M$6,B215),0)</f>
        <v>0</v>
      </c>
      <c r="O215" s="8" t="str">
        <f>IF(N215=0,"",COUNTIF($N$2:N215,1))</f>
        <v/>
      </c>
      <c r="P215" s="8" t="str">
        <f t="shared" si="0"/>
        <v/>
      </c>
    </row>
    <row r="216" spans="2:16">
      <c r="B216" s="7"/>
      <c r="F216" s="4"/>
      <c r="G216" s="5"/>
      <c r="H216" s="6"/>
      <c r="I216" s="226"/>
      <c r="J216" s="226"/>
      <c r="K216" s="226"/>
      <c r="L216" s="226"/>
      <c r="M216" s="8">
        <f>Tableau3[[#This Row],[CODE]]</f>
        <v>0</v>
      </c>
      <c r="N216" s="8">
        <f>IFERROR(SEARCH(SAV!$M$6,B216),0)</f>
        <v>0</v>
      </c>
      <c r="O216" s="8" t="str">
        <f>IF(N216=0,"",COUNTIF($N$2:N216,1))</f>
        <v/>
      </c>
      <c r="P216" s="8" t="str">
        <f t="shared" si="0"/>
        <v/>
      </c>
    </row>
    <row r="217" spans="2:16">
      <c r="B217" s="7"/>
      <c r="F217" s="4"/>
      <c r="G217" s="5"/>
      <c r="H217" s="6"/>
      <c r="I217" s="226"/>
      <c r="J217" s="226"/>
      <c r="K217" s="226"/>
      <c r="L217" s="226"/>
      <c r="M217" s="8">
        <f>Tableau3[[#This Row],[CODE]]</f>
        <v>0</v>
      </c>
      <c r="N217" s="8">
        <f>IFERROR(SEARCH(SAV!$M$6,B217),0)</f>
        <v>0</v>
      </c>
      <c r="O217" s="8" t="str">
        <f>IF(N217=0,"",COUNTIF($N$2:N217,1))</f>
        <v/>
      </c>
      <c r="P217" s="8" t="str">
        <f t="shared" si="0"/>
        <v/>
      </c>
    </row>
    <row r="218" spans="2:16">
      <c r="B218" s="7"/>
      <c r="F218" s="4"/>
      <c r="G218" s="5"/>
      <c r="H218" s="6"/>
      <c r="I218" s="226"/>
      <c r="J218" s="226"/>
      <c r="K218" s="226"/>
      <c r="L218" s="226"/>
      <c r="M218" s="8">
        <f>Tableau3[[#This Row],[CODE]]</f>
        <v>0</v>
      </c>
      <c r="N218" s="8">
        <f>IFERROR(SEARCH(SAV!$M$6,B218),0)</f>
        <v>0</v>
      </c>
      <c r="O218" s="8" t="str">
        <f>IF(N218=0,"",COUNTIF($N$2:N218,1))</f>
        <v/>
      </c>
      <c r="P218" s="8" t="str">
        <f t="shared" si="0"/>
        <v/>
      </c>
    </row>
    <row r="219" spans="2:16">
      <c r="B219" s="7"/>
      <c r="F219" s="4"/>
      <c r="G219" s="5"/>
      <c r="H219" s="6"/>
      <c r="I219" s="226"/>
      <c r="J219" s="226"/>
      <c r="K219" s="226"/>
      <c r="L219" s="226"/>
      <c r="M219" s="8">
        <f>Tableau3[[#This Row],[CODE]]</f>
        <v>0</v>
      </c>
      <c r="N219" s="8">
        <f>IFERROR(SEARCH(SAV!$M$6,B219),0)</f>
        <v>0</v>
      </c>
      <c r="O219" s="8" t="str">
        <f>IF(N219=0,"",COUNTIF($N$2:N219,1))</f>
        <v/>
      </c>
      <c r="P219" s="8" t="str">
        <f t="shared" si="0"/>
        <v/>
      </c>
    </row>
    <row r="220" spans="2:16">
      <c r="B220" s="7"/>
      <c r="F220" s="4"/>
      <c r="G220" s="5"/>
      <c r="H220" s="6"/>
      <c r="I220" s="226"/>
      <c r="J220" s="226"/>
      <c r="K220" s="226"/>
      <c r="L220" s="226"/>
      <c r="M220" s="8">
        <f>Tableau3[[#This Row],[CODE]]</f>
        <v>0</v>
      </c>
      <c r="N220" s="8">
        <f>IFERROR(SEARCH(SAV!$M$6,B220),0)</f>
        <v>0</v>
      </c>
      <c r="O220" s="8" t="str">
        <f>IF(N220=0,"",COUNTIF($N$2:N220,1))</f>
        <v/>
      </c>
      <c r="P220" s="8" t="str">
        <f t="shared" si="0"/>
        <v/>
      </c>
    </row>
    <row r="221" spans="2:16">
      <c r="B221" s="7"/>
      <c r="F221" s="4"/>
      <c r="G221" s="5"/>
      <c r="H221" s="6"/>
      <c r="I221" s="226"/>
      <c r="J221" s="226"/>
      <c r="K221" s="226"/>
      <c r="L221" s="226"/>
      <c r="M221" s="8">
        <f>Tableau3[[#This Row],[CODE]]</f>
        <v>0</v>
      </c>
      <c r="N221" s="8">
        <f>IFERROR(SEARCH(SAV!$M$6,B221),0)</f>
        <v>0</v>
      </c>
      <c r="O221" s="8" t="str">
        <f>IF(N221=0,"",COUNTIF($N$2:N221,1))</f>
        <v/>
      </c>
      <c r="P221" s="8" t="str">
        <f t="shared" si="0"/>
        <v/>
      </c>
    </row>
    <row r="222" spans="2:16">
      <c r="B222" s="7"/>
      <c r="F222" s="4"/>
      <c r="G222" s="5"/>
      <c r="H222" s="6"/>
      <c r="I222" s="226"/>
      <c r="J222" s="226"/>
      <c r="K222" s="226"/>
      <c r="L222" s="226"/>
      <c r="M222" s="8">
        <f>Tableau3[[#This Row],[CODE]]</f>
        <v>0</v>
      </c>
      <c r="N222" s="8">
        <f>IFERROR(SEARCH(SAV!$M$6,B222),0)</f>
        <v>0</v>
      </c>
      <c r="O222" s="8" t="str">
        <f>IF(N222=0,"",COUNTIF($N$2:N222,1))</f>
        <v/>
      </c>
      <c r="P222" s="8" t="str">
        <f t="shared" si="0"/>
        <v/>
      </c>
    </row>
    <row r="223" spans="2:16">
      <c r="B223" s="7"/>
      <c r="F223" s="4"/>
      <c r="G223" s="5"/>
      <c r="H223" s="6"/>
      <c r="I223" s="226"/>
      <c r="J223" s="226"/>
      <c r="K223" s="226"/>
      <c r="L223" s="226"/>
      <c r="M223" s="8">
        <f>Tableau3[[#This Row],[CODE]]</f>
        <v>0</v>
      </c>
      <c r="N223" s="8">
        <f>IFERROR(SEARCH(SAV!$M$6,B223),0)</f>
        <v>0</v>
      </c>
      <c r="O223" s="8" t="str">
        <f>IF(N223=0,"",COUNTIF($N$2:N223,1))</f>
        <v/>
      </c>
      <c r="P223" s="8" t="str">
        <f t="shared" si="0"/>
        <v/>
      </c>
    </row>
    <row r="224" spans="2:16">
      <c r="B224" s="7"/>
      <c r="F224" s="4"/>
      <c r="G224" s="5"/>
      <c r="H224" s="6"/>
      <c r="I224" s="226"/>
      <c r="J224" s="226"/>
      <c r="K224" s="226"/>
      <c r="L224" s="226"/>
      <c r="M224" s="8">
        <f>Tableau3[[#This Row],[CODE]]</f>
        <v>0</v>
      </c>
      <c r="N224" s="8">
        <f>IFERROR(SEARCH(SAV!$M$6,B224),0)</f>
        <v>0</v>
      </c>
      <c r="O224" s="8" t="str">
        <f>IF(N224=0,"",COUNTIF($N$2:N224,1))</f>
        <v/>
      </c>
      <c r="P224" s="8" t="str">
        <f t="shared" si="0"/>
        <v/>
      </c>
    </row>
    <row r="225" spans="2:16">
      <c r="B225" s="7"/>
      <c r="F225" s="4"/>
      <c r="G225" s="5"/>
      <c r="H225" s="6"/>
      <c r="I225" s="226"/>
      <c r="J225" s="226"/>
      <c r="K225" s="226"/>
      <c r="L225" s="226"/>
      <c r="M225" s="8">
        <f>Tableau3[[#This Row],[CODE]]</f>
        <v>0</v>
      </c>
      <c r="N225" s="8">
        <f>IFERROR(SEARCH(SAV!$M$6,B225),0)</f>
        <v>0</v>
      </c>
      <c r="O225" s="8" t="str">
        <f>IF(N225=0,"",COUNTIF($N$2:N225,1))</f>
        <v/>
      </c>
      <c r="P225" s="8" t="str">
        <f t="shared" si="0"/>
        <v/>
      </c>
    </row>
    <row r="226" spans="2:16">
      <c r="B226" s="7"/>
      <c r="F226" s="4"/>
      <c r="G226" s="5"/>
      <c r="H226" s="6"/>
      <c r="I226" s="226"/>
      <c r="J226" s="226"/>
      <c r="K226" s="226"/>
      <c r="L226" s="226"/>
      <c r="M226" s="8">
        <f>Tableau3[[#This Row],[CODE]]</f>
        <v>0</v>
      </c>
      <c r="N226" s="8">
        <f>IFERROR(SEARCH(SAV!$M$6,B226),0)</f>
        <v>0</v>
      </c>
      <c r="O226" s="8" t="str">
        <f>IF(N226=0,"",COUNTIF($N$2:N226,1))</f>
        <v/>
      </c>
      <c r="P226" s="8" t="str">
        <f t="shared" si="0"/>
        <v/>
      </c>
    </row>
    <row r="227" spans="2:16">
      <c r="B227" s="7"/>
      <c r="F227" s="4"/>
      <c r="G227" s="5"/>
      <c r="H227" s="6"/>
      <c r="I227" s="226"/>
      <c r="J227" s="226"/>
      <c r="K227" s="226"/>
      <c r="L227" s="226"/>
      <c r="M227" s="8">
        <f>Tableau3[[#This Row],[CODE]]</f>
        <v>0</v>
      </c>
      <c r="N227" s="8">
        <f>IFERROR(SEARCH(SAV!$M$6,B227),0)</f>
        <v>0</v>
      </c>
      <c r="O227" s="8" t="str">
        <f>IF(N227=0,"",COUNTIF($N$2:N227,1))</f>
        <v/>
      </c>
      <c r="P227" s="8" t="str">
        <f t="shared" si="0"/>
        <v/>
      </c>
    </row>
    <row r="228" spans="2:16">
      <c r="B228" s="7"/>
      <c r="F228" s="4"/>
      <c r="G228" s="5"/>
      <c r="H228" s="6"/>
      <c r="I228" s="226"/>
      <c r="J228" s="226"/>
      <c r="K228" s="226"/>
      <c r="L228" s="226"/>
      <c r="M228" s="8">
        <f>Tableau3[[#This Row],[CODE]]</f>
        <v>0</v>
      </c>
      <c r="N228" s="8">
        <f>IFERROR(SEARCH(SAV!$M$6,B228),0)</f>
        <v>0</v>
      </c>
      <c r="O228" s="8" t="str">
        <f>IF(N228=0,"",COUNTIF($N$2:N228,1))</f>
        <v/>
      </c>
      <c r="P228" s="8" t="str">
        <f t="shared" si="0"/>
        <v/>
      </c>
    </row>
    <row r="229" spans="2:16">
      <c r="B229" s="7"/>
      <c r="F229" s="4"/>
      <c r="G229" s="5"/>
      <c r="H229" s="6"/>
      <c r="I229" s="226"/>
      <c r="J229" s="226"/>
      <c r="K229" s="226"/>
      <c r="L229" s="226"/>
      <c r="M229" s="8">
        <f>Tableau3[[#This Row],[CODE]]</f>
        <v>0</v>
      </c>
      <c r="N229" s="8">
        <f>IFERROR(SEARCH(SAV!$M$6,B229),0)</f>
        <v>0</v>
      </c>
      <c r="O229" s="8" t="str">
        <f>IF(N229=0,"",COUNTIF($N$2:N229,1))</f>
        <v/>
      </c>
      <c r="P229" s="8" t="str">
        <f t="shared" si="0"/>
        <v/>
      </c>
    </row>
    <row r="230" spans="2:16">
      <c r="B230" s="7"/>
      <c r="F230" s="4"/>
      <c r="G230" s="5"/>
      <c r="H230" s="6"/>
      <c r="I230" s="226"/>
      <c r="J230" s="226"/>
      <c r="K230" s="226"/>
      <c r="L230" s="226"/>
      <c r="M230" s="8">
        <f>Tableau3[[#This Row],[CODE]]</f>
        <v>0</v>
      </c>
      <c r="N230" s="8">
        <f>IFERROR(SEARCH(SAV!$M$6,B230),0)</f>
        <v>0</v>
      </c>
      <c r="O230" s="8" t="str">
        <f>IF(N230=0,"",COUNTIF($N$2:N230,1))</f>
        <v/>
      </c>
      <c r="P230" s="8" t="str">
        <f t="shared" si="0"/>
        <v/>
      </c>
    </row>
    <row r="231" spans="2:16">
      <c r="B231" s="7"/>
      <c r="F231" s="4"/>
      <c r="G231" s="5"/>
      <c r="H231" s="6"/>
      <c r="I231" s="226"/>
      <c r="J231" s="226"/>
      <c r="K231" s="226"/>
      <c r="L231" s="226"/>
      <c r="M231" s="8">
        <f>Tableau3[[#This Row],[CODE]]</f>
        <v>0</v>
      </c>
      <c r="N231" s="8">
        <f>IFERROR(SEARCH(SAV!$M$6,B231),0)</f>
        <v>0</v>
      </c>
      <c r="O231" s="8" t="str">
        <f>IF(N231=0,"",COUNTIF($N$2:N231,1))</f>
        <v/>
      </c>
      <c r="P231" s="8" t="str">
        <f t="shared" si="0"/>
        <v/>
      </c>
    </row>
    <row r="232" spans="2:16">
      <c r="B232" s="7"/>
      <c r="F232" s="4"/>
      <c r="G232" s="5"/>
      <c r="H232" s="6"/>
      <c r="I232" s="226"/>
      <c r="J232" s="226"/>
      <c r="K232" s="226"/>
      <c r="L232" s="226"/>
      <c r="M232" s="8">
        <f>Tableau3[[#This Row],[CODE]]</f>
        <v>0</v>
      </c>
      <c r="N232" s="8">
        <f>IFERROR(SEARCH(SAV!$M$6,B232),0)</f>
        <v>0</v>
      </c>
      <c r="O232" s="8" t="str">
        <f>IF(N232=0,"",COUNTIF($N$2:N232,1))</f>
        <v/>
      </c>
      <c r="P232" s="8" t="str">
        <f t="shared" si="0"/>
        <v/>
      </c>
    </row>
    <row r="233" spans="2:16">
      <c r="B233" s="7"/>
      <c r="F233" s="4"/>
      <c r="G233" s="5"/>
      <c r="H233" s="6"/>
      <c r="I233" s="226"/>
      <c r="J233" s="226"/>
      <c r="K233" s="226"/>
      <c r="L233" s="226"/>
      <c r="M233" s="8">
        <f>Tableau3[[#This Row],[CODE]]</f>
        <v>0</v>
      </c>
      <c r="N233" s="8">
        <f>IFERROR(SEARCH(SAV!$M$6,B233),0)</f>
        <v>0</v>
      </c>
      <c r="O233" s="8" t="str">
        <f>IF(N233=0,"",COUNTIF($N$2:N233,1))</f>
        <v/>
      </c>
      <c r="P233" s="8" t="str">
        <f t="shared" si="0"/>
        <v/>
      </c>
    </row>
    <row r="234" spans="2:16">
      <c r="B234" s="7"/>
      <c r="F234" s="4"/>
      <c r="G234" s="5"/>
      <c r="H234" s="6"/>
      <c r="I234" s="226"/>
      <c r="J234" s="226"/>
      <c r="K234" s="226"/>
      <c r="L234" s="226"/>
      <c r="M234" s="8">
        <f>Tableau3[[#This Row],[CODE]]</f>
        <v>0</v>
      </c>
      <c r="N234" s="8">
        <f>IFERROR(SEARCH(SAV!$M$6,B234),0)</f>
        <v>0</v>
      </c>
      <c r="O234" s="8" t="str">
        <f>IF(N234=0,"",COUNTIF($N$2:N234,1))</f>
        <v/>
      </c>
      <c r="P234" s="8" t="str">
        <f t="shared" si="0"/>
        <v/>
      </c>
    </row>
    <row r="235" spans="2:16">
      <c r="B235" s="7"/>
      <c r="F235" s="4"/>
      <c r="G235" s="5"/>
      <c r="H235" s="6"/>
      <c r="I235" s="226"/>
      <c r="J235" s="226"/>
      <c r="K235" s="226"/>
      <c r="L235" s="226"/>
      <c r="M235" s="8">
        <f>Tableau3[[#This Row],[CODE]]</f>
        <v>0</v>
      </c>
      <c r="N235" s="8">
        <f>IFERROR(SEARCH(SAV!$M$6,B235),0)</f>
        <v>0</v>
      </c>
      <c r="O235" s="8" t="str">
        <f>IF(N235=0,"",COUNTIF($N$2:N235,1))</f>
        <v/>
      </c>
      <c r="P235" s="8" t="str">
        <f t="shared" si="0"/>
        <v/>
      </c>
    </row>
    <row r="236" spans="2:16">
      <c r="B236" s="7"/>
      <c r="F236" s="4"/>
      <c r="G236" s="5"/>
      <c r="H236" s="6"/>
      <c r="I236" s="226"/>
      <c r="J236" s="226"/>
      <c r="K236" s="226"/>
      <c r="L236" s="226"/>
      <c r="M236" s="8">
        <f>Tableau3[[#This Row],[CODE]]</f>
        <v>0</v>
      </c>
      <c r="N236" s="8">
        <f>IFERROR(SEARCH(SAV!$M$6,B236),0)</f>
        <v>0</v>
      </c>
      <c r="O236" s="8" t="str">
        <f>IF(N236=0,"",COUNTIF($N$2:N236,1))</f>
        <v/>
      </c>
      <c r="P236" s="8" t="str">
        <f t="shared" si="0"/>
        <v/>
      </c>
    </row>
    <row r="237" spans="2:16">
      <c r="B237" s="7"/>
      <c r="F237" s="4"/>
      <c r="G237" s="5"/>
      <c r="H237" s="6"/>
      <c r="I237" s="226"/>
      <c r="J237" s="226"/>
      <c r="K237" s="226"/>
      <c r="L237" s="226"/>
      <c r="M237" s="8">
        <f>Tableau3[[#This Row],[CODE]]</f>
        <v>0</v>
      </c>
      <c r="N237" s="8">
        <f>IFERROR(SEARCH(SAV!$M$6,B237),0)</f>
        <v>0</v>
      </c>
      <c r="O237" s="8" t="str">
        <f>IF(N237=0,"",COUNTIF($N$2:N237,1))</f>
        <v/>
      </c>
      <c r="P237" s="8" t="str">
        <f t="shared" si="0"/>
        <v/>
      </c>
    </row>
    <row r="238" spans="2:16">
      <c r="B238" s="7"/>
      <c r="F238" s="4"/>
      <c r="G238" s="5"/>
      <c r="H238" s="6"/>
      <c r="I238" s="226"/>
      <c r="J238" s="226"/>
      <c r="K238" s="226"/>
      <c r="L238" s="226"/>
      <c r="M238" s="8">
        <f>Tableau3[[#This Row],[CODE]]</f>
        <v>0</v>
      </c>
      <c r="N238" s="8">
        <f>IFERROR(SEARCH(SAV!$M$6,B238),0)</f>
        <v>0</v>
      </c>
      <c r="O238" s="8" t="str">
        <f>IF(N238=0,"",COUNTIF($N$2:N238,1))</f>
        <v/>
      </c>
      <c r="P238" s="8" t="str">
        <f t="shared" si="0"/>
        <v/>
      </c>
    </row>
    <row r="239" spans="2:16">
      <c r="B239" s="7"/>
      <c r="F239" s="4"/>
      <c r="G239" s="5"/>
      <c r="H239" s="6"/>
      <c r="I239" s="226"/>
      <c r="J239" s="226"/>
      <c r="K239" s="226"/>
      <c r="L239" s="226"/>
      <c r="M239" s="8">
        <f>Tableau3[[#This Row],[CODE]]</f>
        <v>0</v>
      </c>
      <c r="N239" s="8">
        <f>IFERROR(SEARCH(SAV!$M$6,B239),0)</f>
        <v>0</v>
      </c>
      <c r="O239" s="8" t="str">
        <f>IF(N239=0,"",COUNTIF($N$2:N239,1))</f>
        <v/>
      </c>
      <c r="P239" s="8" t="str">
        <f t="shared" si="0"/>
        <v/>
      </c>
    </row>
    <row r="240" spans="2:16">
      <c r="B240" s="7"/>
      <c r="F240" s="4"/>
      <c r="G240" s="5"/>
      <c r="H240" s="6"/>
      <c r="I240" s="226"/>
      <c r="J240" s="226"/>
      <c r="K240" s="226"/>
      <c r="L240" s="226"/>
      <c r="M240" s="8">
        <f>Tableau3[[#This Row],[CODE]]</f>
        <v>0</v>
      </c>
      <c r="N240" s="8">
        <f>IFERROR(SEARCH(SAV!$M$6,B240),0)</f>
        <v>0</v>
      </c>
      <c r="O240" s="8" t="str">
        <f>IF(N240=0,"",COUNTIF($N$2:N240,1))</f>
        <v/>
      </c>
      <c r="P240" s="8" t="str">
        <f t="shared" si="0"/>
        <v/>
      </c>
    </row>
    <row r="241" spans="2:16">
      <c r="B241" s="7"/>
      <c r="F241" s="4"/>
      <c r="G241" s="5"/>
      <c r="H241" s="6"/>
      <c r="I241" s="226"/>
      <c r="J241" s="226"/>
      <c r="K241" s="226"/>
      <c r="L241" s="226"/>
      <c r="M241" s="8">
        <f>Tableau3[[#This Row],[CODE]]</f>
        <v>0</v>
      </c>
      <c r="N241" s="8">
        <f>IFERROR(SEARCH(SAV!$M$6,B241),0)</f>
        <v>0</v>
      </c>
      <c r="O241" s="8" t="str">
        <f>IF(N241=0,"",COUNTIF($N$2:N241,1))</f>
        <v/>
      </c>
      <c r="P241" s="8" t="str">
        <f t="shared" si="0"/>
        <v/>
      </c>
    </row>
    <row r="242" spans="2:16">
      <c r="B242" s="7"/>
      <c r="F242" s="4"/>
      <c r="G242" s="5"/>
      <c r="H242" s="6"/>
      <c r="I242" s="226"/>
      <c r="J242" s="226"/>
      <c r="K242" s="226"/>
      <c r="L242" s="226"/>
      <c r="M242" s="8">
        <f>Tableau3[[#This Row],[CODE]]</f>
        <v>0</v>
      </c>
      <c r="N242" s="8">
        <f>IFERROR(SEARCH(SAV!$M$6,B242),0)</f>
        <v>0</v>
      </c>
      <c r="O242" s="8" t="str">
        <f>IF(N242=0,"",COUNTIF($N$2:N242,1))</f>
        <v/>
      </c>
      <c r="P242" s="8" t="str">
        <f t="shared" si="0"/>
        <v/>
      </c>
    </row>
    <row r="243" spans="2:16">
      <c r="B243" s="7"/>
      <c r="F243" s="4"/>
      <c r="G243" s="5"/>
      <c r="H243" s="6"/>
      <c r="I243" s="226"/>
      <c r="J243" s="226"/>
      <c r="K243" s="226"/>
      <c r="L243" s="226"/>
      <c r="M243" s="8">
        <f>Tableau3[[#This Row],[CODE]]</f>
        <v>0</v>
      </c>
      <c r="N243" s="8">
        <f>IFERROR(SEARCH(SAV!$M$6,B243),0)</f>
        <v>0</v>
      </c>
      <c r="O243" s="8" t="str">
        <f>IF(N243=0,"",COUNTIF($N$2:N243,1))</f>
        <v/>
      </c>
      <c r="P243" s="8" t="str">
        <f t="shared" si="0"/>
        <v/>
      </c>
    </row>
    <row r="244" spans="2:16">
      <c r="B244" s="7"/>
      <c r="F244" s="4"/>
      <c r="G244" s="5"/>
      <c r="H244" s="6"/>
      <c r="I244" s="226"/>
      <c r="J244" s="226"/>
      <c r="K244" s="226"/>
      <c r="L244" s="226"/>
      <c r="M244" s="8">
        <f>Tableau3[[#This Row],[CODE]]</f>
        <v>0</v>
      </c>
      <c r="N244" s="8">
        <f>IFERROR(SEARCH(SAV!$M$6,B244),0)</f>
        <v>0</v>
      </c>
      <c r="O244" s="8" t="str">
        <f>IF(N244=0,"",COUNTIF($N$2:N244,1))</f>
        <v/>
      </c>
      <c r="P244" s="8" t="str">
        <f t="shared" si="0"/>
        <v/>
      </c>
    </row>
    <row r="245" spans="2:16">
      <c r="B245" s="7"/>
      <c r="F245" s="4"/>
      <c r="G245" s="5"/>
      <c r="H245" s="6"/>
      <c r="I245" s="226"/>
      <c r="J245" s="226"/>
      <c r="K245" s="226"/>
      <c r="L245" s="226"/>
      <c r="M245" s="8">
        <f>Tableau3[[#This Row],[CODE]]</f>
        <v>0</v>
      </c>
      <c r="N245" s="8">
        <f>IFERROR(SEARCH(SAV!$M$6,B245),0)</f>
        <v>0</v>
      </c>
      <c r="O245" s="8" t="str">
        <f>IF(N245=0,"",COUNTIF($N$2:N245,1))</f>
        <v/>
      </c>
      <c r="P245" s="8" t="str">
        <f t="shared" si="0"/>
        <v/>
      </c>
    </row>
    <row r="246" spans="2:16">
      <c r="B246" s="7"/>
      <c r="F246" s="4"/>
      <c r="G246" s="5"/>
      <c r="H246" s="6"/>
      <c r="I246" s="226"/>
      <c r="J246" s="226"/>
      <c r="K246" s="226"/>
      <c r="L246" s="226"/>
      <c r="M246" s="8">
        <f>Tableau3[[#This Row],[CODE]]</f>
        <v>0</v>
      </c>
      <c r="N246" s="8">
        <f>IFERROR(SEARCH(SAV!$M$6,B246),0)</f>
        <v>0</v>
      </c>
      <c r="O246" s="8" t="str">
        <f>IF(N246=0,"",COUNTIF($N$2:N246,1))</f>
        <v/>
      </c>
      <c r="P246" s="8" t="str">
        <f t="shared" si="0"/>
        <v/>
      </c>
    </row>
    <row r="247" spans="2:16">
      <c r="B247" s="7"/>
      <c r="F247" s="4"/>
      <c r="G247" s="5"/>
      <c r="H247" s="6"/>
      <c r="I247" s="226"/>
      <c r="J247" s="226"/>
      <c r="K247" s="226"/>
      <c r="L247" s="226"/>
      <c r="M247" s="8">
        <f>Tableau3[[#This Row],[CODE]]</f>
        <v>0</v>
      </c>
      <c r="N247" s="8">
        <f>IFERROR(SEARCH(SAV!$M$6,B247),0)</f>
        <v>0</v>
      </c>
      <c r="O247" s="8" t="str">
        <f>IF(N247=0,"",COUNTIF($N$2:N247,1))</f>
        <v/>
      </c>
      <c r="P247" s="8" t="str">
        <f t="shared" si="0"/>
        <v/>
      </c>
    </row>
    <row r="248" spans="2:16">
      <c r="B248" s="7"/>
      <c r="F248" s="4"/>
      <c r="G248" s="5"/>
      <c r="H248" s="6"/>
      <c r="I248" s="226"/>
      <c r="J248" s="226"/>
      <c r="K248" s="226"/>
      <c r="L248" s="226"/>
      <c r="M248" s="8">
        <f>Tableau3[[#This Row],[CODE]]</f>
        <v>0</v>
      </c>
      <c r="N248" s="8">
        <f>IFERROR(SEARCH(SAV!$M$6,B248),0)</f>
        <v>0</v>
      </c>
      <c r="O248" s="8" t="str">
        <f>IF(N248=0,"",COUNTIF($N$2:N248,1))</f>
        <v/>
      </c>
      <c r="P248" s="8" t="str">
        <f t="shared" si="0"/>
        <v/>
      </c>
    </row>
    <row r="249" spans="2:16">
      <c r="B249" s="7"/>
      <c r="F249" s="4"/>
      <c r="G249" s="5"/>
      <c r="H249" s="6"/>
      <c r="I249" s="226"/>
      <c r="J249" s="226"/>
      <c r="K249" s="226"/>
      <c r="L249" s="226"/>
      <c r="M249" s="8">
        <f>Tableau3[[#This Row],[CODE]]</f>
        <v>0</v>
      </c>
      <c r="N249" s="8">
        <f>IFERROR(SEARCH(SAV!$M$6,B249),0)</f>
        <v>0</v>
      </c>
      <c r="O249" s="8" t="str">
        <f>IF(N249=0,"",COUNTIF($N$2:N249,1))</f>
        <v/>
      </c>
      <c r="P249" s="8" t="str">
        <f t="shared" si="0"/>
        <v/>
      </c>
    </row>
    <row r="250" spans="2:16">
      <c r="B250" s="7"/>
      <c r="F250" s="4"/>
      <c r="G250" s="5"/>
      <c r="H250" s="6"/>
      <c r="I250" s="226"/>
      <c r="J250" s="226"/>
      <c r="K250" s="226"/>
      <c r="L250" s="226"/>
      <c r="M250" s="8">
        <f>Tableau3[[#This Row],[CODE]]</f>
        <v>0</v>
      </c>
      <c r="N250" s="8">
        <f>IFERROR(SEARCH(SAV!$M$6,B250),0)</f>
        <v>0</v>
      </c>
      <c r="O250" s="8" t="str">
        <f>IF(N250=0,"",COUNTIF($N$2:N250,1))</f>
        <v/>
      </c>
      <c r="P250" s="8" t="str">
        <f t="shared" si="0"/>
        <v/>
      </c>
    </row>
    <row r="251" spans="2:16">
      <c r="B251" s="7"/>
      <c r="F251" s="4"/>
      <c r="G251" s="5"/>
      <c r="H251" s="6"/>
      <c r="I251" s="226"/>
      <c r="J251" s="226"/>
      <c r="K251" s="226"/>
      <c r="L251" s="226"/>
      <c r="M251" s="8">
        <f>Tableau3[[#This Row],[CODE]]</f>
        <v>0</v>
      </c>
      <c r="N251" s="8">
        <f>IFERROR(SEARCH(SAV!$M$6,B251),0)</f>
        <v>0</v>
      </c>
      <c r="O251" s="8" t="str">
        <f>IF(N251=0,"",COUNTIF($N$2:N251,1))</f>
        <v/>
      </c>
      <c r="P251" s="8" t="str">
        <f t="shared" si="0"/>
        <v/>
      </c>
    </row>
    <row r="252" spans="2:16">
      <c r="B252" s="7"/>
      <c r="F252" s="4"/>
      <c r="G252" s="5"/>
      <c r="H252" s="6"/>
      <c r="I252" s="226"/>
      <c r="J252" s="226"/>
      <c r="K252" s="226"/>
      <c r="L252" s="226"/>
      <c r="M252" s="8">
        <f>Tableau3[[#This Row],[CODE]]</f>
        <v>0</v>
      </c>
      <c r="N252" s="8">
        <f>IFERROR(SEARCH(SAV!$M$6,B252),0)</f>
        <v>0</v>
      </c>
      <c r="O252" s="8" t="str">
        <f>IF(N252=0,"",COUNTIF($N$2:N252,1))</f>
        <v/>
      </c>
      <c r="P252" s="8" t="str">
        <f t="shared" si="0"/>
        <v/>
      </c>
    </row>
    <row r="253" spans="2:16">
      <c r="B253" s="7"/>
      <c r="F253" s="4"/>
      <c r="G253" s="5"/>
      <c r="H253" s="6"/>
      <c r="I253" s="226"/>
      <c r="J253" s="226"/>
      <c r="K253" s="226"/>
      <c r="L253" s="226"/>
      <c r="M253" s="8">
        <f>Tableau3[[#This Row],[CODE]]</f>
        <v>0</v>
      </c>
      <c r="N253" s="8">
        <f>IFERROR(SEARCH(SAV!$M$6,B253),0)</f>
        <v>0</v>
      </c>
      <c r="O253" s="8" t="str">
        <f>IF(N253=0,"",COUNTIF($N$2:N253,1))</f>
        <v/>
      </c>
      <c r="P253" s="8" t="str">
        <f t="shared" si="0"/>
        <v/>
      </c>
    </row>
    <row r="254" spans="2:16">
      <c r="B254" s="7"/>
      <c r="F254" s="4"/>
      <c r="G254" s="5"/>
      <c r="H254" s="6"/>
      <c r="I254" s="226"/>
      <c r="J254" s="226"/>
      <c r="K254" s="226"/>
      <c r="L254" s="226"/>
      <c r="M254" s="8">
        <f>Tableau3[[#This Row],[CODE]]</f>
        <v>0</v>
      </c>
      <c r="N254" s="8">
        <f>IFERROR(SEARCH(SAV!$M$6,B254),0)</f>
        <v>0</v>
      </c>
      <c r="O254" s="8" t="str">
        <f>IF(N254=0,"",COUNTIF($N$2:N254,1))</f>
        <v/>
      </c>
      <c r="P254" s="8" t="str">
        <f t="shared" si="0"/>
        <v/>
      </c>
    </row>
    <row r="255" spans="2:16">
      <c r="B255" s="7"/>
      <c r="F255" s="4"/>
      <c r="G255" s="5"/>
      <c r="H255" s="6"/>
      <c r="I255" s="226"/>
      <c r="J255" s="226"/>
      <c r="K255" s="226"/>
      <c r="L255" s="226"/>
      <c r="M255" s="8">
        <f>Tableau3[[#This Row],[CODE]]</f>
        <v>0</v>
      </c>
      <c r="N255" s="8">
        <f>IFERROR(SEARCH(SAV!$M$6,B255),0)</f>
        <v>0</v>
      </c>
      <c r="O255" s="8" t="str">
        <f>IF(N255=0,"",COUNTIF($N$2:N255,1))</f>
        <v/>
      </c>
      <c r="P255" s="8" t="str">
        <f t="shared" si="0"/>
        <v/>
      </c>
    </row>
    <row r="256" spans="2:16">
      <c r="B256" s="7"/>
      <c r="F256" s="4"/>
      <c r="G256" s="5"/>
      <c r="H256" s="6"/>
      <c r="I256" s="226"/>
      <c r="J256" s="226"/>
      <c r="K256" s="226"/>
      <c r="L256" s="226"/>
      <c r="M256" s="8">
        <f>Tableau3[[#This Row],[CODE]]</f>
        <v>0</v>
      </c>
      <c r="N256" s="8">
        <f>IFERROR(SEARCH(SAV!$M$6,B256),0)</f>
        <v>0</v>
      </c>
      <c r="O256" s="8" t="str">
        <f>IF(N256=0,"",COUNTIF($N$2:N256,1))</f>
        <v/>
      </c>
      <c r="P256" s="8" t="str">
        <f t="shared" si="0"/>
        <v/>
      </c>
    </row>
    <row r="257" spans="2:16">
      <c r="B257" s="7"/>
      <c r="F257" s="4"/>
      <c r="G257" s="5"/>
      <c r="H257" s="6"/>
      <c r="I257" s="226"/>
      <c r="J257" s="226"/>
      <c r="K257" s="226"/>
      <c r="L257" s="226"/>
      <c r="M257" s="8">
        <f>Tableau3[[#This Row],[CODE]]</f>
        <v>0</v>
      </c>
      <c r="N257" s="8">
        <f>IFERROR(SEARCH(SAV!$M$6,B257),0)</f>
        <v>0</v>
      </c>
      <c r="O257" s="8" t="str">
        <f>IF(N257=0,"",COUNTIF($N$2:N257,1))</f>
        <v/>
      </c>
      <c r="P257" s="8" t="str">
        <f t="shared" si="0"/>
        <v/>
      </c>
    </row>
    <row r="258" spans="2:16">
      <c r="B258" s="7"/>
      <c r="F258" s="4"/>
      <c r="G258" s="5"/>
      <c r="H258" s="6"/>
      <c r="I258" s="226"/>
      <c r="J258" s="226"/>
      <c r="K258" s="226"/>
      <c r="L258" s="226"/>
      <c r="M258" s="8">
        <f>Tableau3[[#This Row],[CODE]]</f>
        <v>0</v>
      </c>
      <c r="N258" s="8">
        <f>IFERROR(SEARCH(SAV!$M$6,B258),0)</f>
        <v>0</v>
      </c>
      <c r="O258" s="8" t="str">
        <f>IF(N258=0,"",COUNTIF($N$2:N258,1))</f>
        <v/>
      </c>
      <c r="P258" s="8" t="str">
        <f t="shared" si="0"/>
        <v/>
      </c>
    </row>
    <row r="259" spans="2:16">
      <c r="B259" s="7"/>
      <c r="F259" s="4"/>
      <c r="G259" s="5"/>
      <c r="H259" s="6"/>
      <c r="I259" s="226"/>
      <c r="J259" s="226"/>
      <c r="K259" s="226"/>
      <c r="L259" s="226"/>
      <c r="M259" s="8">
        <f>Tableau3[[#This Row],[CODE]]</f>
        <v>0</v>
      </c>
      <c r="N259" s="8">
        <f>IFERROR(SEARCH(SAV!$M$6,B259),0)</f>
        <v>0</v>
      </c>
      <c r="O259" s="8" t="str">
        <f>IF(N259=0,"",COUNTIF($N$2:N259,1))</f>
        <v/>
      </c>
      <c r="P259" s="8" t="str">
        <f t="shared" si="0"/>
        <v/>
      </c>
    </row>
    <row r="260" spans="2:16">
      <c r="B260" s="7"/>
      <c r="F260" s="4"/>
      <c r="G260" s="5"/>
      <c r="H260" s="6"/>
      <c r="I260" s="226"/>
      <c r="J260" s="226"/>
      <c r="K260" s="226"/>
      <c r="L260" s="226"/>
      <c r="M260" s="8">
        <f>Tableau3[[#This Row],[CODE]]</f>
        <v>0</v>
      </c>
      <c r="N260" s="8">
        <f>IFERROR(SEARCH(SAV!$M$6,B260),0)</f>
        <v>0</v>
      </c>
      <c r="O260" s="8" t="str">
        <f>IF(N260=0,"",COUNTIF($N$2:N260,1))</f>
        <v/>
      </c>
      <c r="P260" s="8" t="str">
        <f t="shared" si="0"/>
        <v/>
      </c>
    </row>
    <row r="261" spans="2:16">
      <c r="B261" s="7"/>
      <c r="F261" s="4"/>
      <c r="G261" s="5"/>
      <c r="H261" s="6"/>
      <c r="I261" s="226"/>
      <c r="J261" s="226"/>
      <c r="K261" s="226"/>
      <c r="L261" s="226"/>
      <c r="M261" s="8">
        <f>Tableau3[[#This Row],[CODE]]</f>
        <v>0</v>
      </c>
      <c r="N261" s="8">
        <f>IFERROR(SEARCH(SAV!$M$6,B261),0)</f>
        <v>0</v>
      </c>
      <c r="O261" s="8" t="str">
        <f>IF(N261=0,"",COUNTIF($N$2:N261,1))</f>
        <v/>
      </c>
      <c r="P261" s="8" t="str">
        <f t="shared" si="0"/>
        <v/>
      </c>
    </row>
    <row r="262" spans="2:16">
      <c r="B262" s="7"/>
      <c r="F262" s="4"/>
      <c r="G262" s="5"/>
      <c r="H262" s="6"/>
      <c r="I262" s="226"/>
      <c r="J262" s="226"/>
      <c r="K262" s="226"/>
      <c r="L262" s="226"/>
      <c r="M262" s="8">
        <f>Tableau3[[#This Row],[CODE]]</f>
        <v>0</v>
      </c>
      <c r="N262" s="8">
        <f>IFERROR(SEARCH(SAV!$M$6,B262),0)</f>
        <v>0</v>
      </c>
      <c r="O262" s="8" t="str">
        <f>IF(N262=0,"",COUNTIF($N$2:N262,1))</f>
        <v/>
      </c>
      <c r="P262" s="8" t="str">
        <f t="shared" si="0"/>
        <v/>
      </c>
    </row>
    <row r="263" spans="2:16">
      <c r="B263" s="7"/>
      <c r="F263" s="4"/>
      <c r="G263" s="5"/>
      <c r="H263" s="6"/>
      <c r="I263" s="226"/>
      <c r="J263" s="226"/>
      <c r="K263" s="226"/>
      <c r="L263" s="226"/>
      <c r="M263" s="8">
        <f>Tableau3[[#This Row],[CODE]]</f>
        <v>0</v>
      </c>
      <c r="N263" s="8">
        <f>IFERROR(SEARCH(SAV!$M$6,B263),0)</f>
        <v>0</v>
      </c>
      <c r="O263" s="8" t="str">
        <f>IF(N263=0,"",COUNTIF($N$2:N263,1))</f>
        <v/>
      </c>
      <c r="P263" s="8" t="str">
        <f t="shared" si="0"/>
        <v/>
      </c>
    </row>
    <row r="264" spans="2:16">
      <c r="B264" s="7"/>
      <c r="F264" s="4"/>
      <c r="G264" s="5"/>
      <c r="H264" s="6"/>
      <c r="I264" s="226"/>
      <c r="J264" s="226"/>
      <c r="K264" s="226"/>
      <c r="L264" s="226"/>
      <c r="M264" s="8">
        <f>Tableau3[[#This Row],[CODE]]</f>
        <v>0</v>
      </c>
      <c r="N264" s="8">
        <f>IFERROR(SEARCH(SAV!$M$6,B264),0)</f>
        <v>0</v>
      </c>
      <c r="O264" s="8" t="str">
        <f>IF(N264=0,"",COUNTIF($N$2:N264,1))</f>
        <v/>
      </c>
      <c r="P264" s="8" t="str">
        <f t="shared" si="0"/>
        <v/>
      </c>
    </row>
    <row r="265" spans="2:16">
      <c r="B265" s="7"/>
      <c r="F265" s="4"/>
      <c r="G265" s="5"/>
      <c r="H265" s="6"/>
      <c r="I265" s="226"/>
      <c r="J265" s="226"/>
      <c r="K265" s="226"/>
      <c r="L265" s="226"/>
      <c r="M265" s="8">
        <f>Tableau3[[#This Row],[CODE]]</f>
        <v>0</v>
      </c>
      <c r="N265" s="8">
        <f>IFERROR(SEARCH(SAV!$M$6,B265),0)</f>
        <v>0</v>
      </c>
      <c r="O265" s="8" t="str">
        <f>IF(N265=0,"",COUNTIF($N$2:N265,1))</f>
        <v/>
      </c>
      <c r="P265" s="8" t="str">
        <f t="shared" si="0"/>
        <v/>
      </c>
    </row>
    <row r="266" spans="2:16">
      <c r="B266" s="7"/>
      <c r="F266" s="4"/>
      <c r="G266" s="5"/>
      <c r="H266" s="6"/>
      <c r="I266" s="226"/>
      <c r="J266" s="226"/>
      <c r="K266" s="226"/>
      <c r="L266" s="226"/>
      <c r="M266" s="8">
        <f>Tableau3[[#This Row],[CODE]]</f>
        <v>0</v>
      </c>
      <c r="N266" s="8">
        <f>IFERROR(SEARCH(SAV!$M$6,B266),0)</f>
        <v>0</v>
      </c>
      <c r="O266" s="8" t="str">
        <f>IF(N266=0,"",COUNTIF($N$2:N266,1))</f>
        <v/>
      </c>
      <c r="P266" s="8" t="str">
        <f t="shared" ref="P266:P300" si="1">IFERROR(INDEX(B:B,MATCH(ROW(O265),O:O,0)),"")</f>
        <v/>
      </c>
    </row>
    <row r="267" spans="2:16">
      <c r="B267" s="7"/>
      <c r="F267" s="4"/>
      <c r="G267" s="5"/>
      <c r="H267" s="6"/>
      <c r="I267" s="226"/>
      <c r="J267" s="226"/>
      <c r="K267" s="226"/>
      <c r="L267" s="226"/>
      <c r="M267" s="8">
        <f>Tableau3[[#This Row],[CODE]]</f>
        <v>0</v>
      </c>
      <c r="N267" s="8">
        <f>IFERROR(SEARCH(SAV!$M$6,B267),0)</f>
        <v>0</v>
      </c>
      <c r="O267" s="8" t="str">
        <f>IF(N267=0,"",COUNTIF($N$2:N267,1))</f>
        <v/>
      </c>
      <c r="P267" s="8" t="str">
        <f t="shared" si="1"/>
        <v/>
      </c>
    </row>
    <row r="268" spans="2:16">
      <c r="B268" s="7"/>
      <c r="F268" s="4"/>
      <c r="G268" s="5"/>
      <c r="H268" s="6"/>
      <c r="I268" s="226"/>
      <c r="J268" s="226"/>
      <c r="K268" s="226"/>
      <c r="L268" s="226"/>
      <c r="M268" s="8">
        <f>Tableau3[[#This Row],[CODE]]</f>
        <v>0</v>
      </c>
      <c r="N268" s="8">
        <f>IFERROR(SEARCH(SAV!$M$6,B268),0)</f>
        <v>0</v>
      </c>
      <c r="O268" s="8" t="str">
        <f>IF(N268=0,"",COUNTIF($N$2:N268,1))</f>
        <v/>
      </c>
      <c r="P268" s="8" t="str">
        <f t="shared" si="1"/>
        <v/>
      </c>
    </row>
    <row r="269" spans="2:16">
      <c r="B269" s="7"/>
      <c r="F269" s="4"/>
      <c r="G269" s="5"/>
      <c r="H269" s="6"/>
      <c r="I269" s="226"/>
      <c r="J269" s="226"/>
      <c r="K269" s="226"/>
      <c r="L269" s="226"/>
      <c r="M269" s="8">
        <f>Tableau3[[#This Row],[CODE]]</f>
        <v>0</v>
      </c>
      <c r="N269" s="8">
        <f>IFERROR(SEARCH(SAV!$M$6,B269),0)</f>
        <v>0</v>
      </c>
      <c r="O269" s="8" t="str">
        <f>IF(N269=0,"",COUNTIF($N$2:N269,1))</f>
        <v/>
      </c>
      <c r="P269" s="8" t="str">
        <f t="shared" si="1"/>
        <v/>
      </c>
    </row>
    <row r="270" spans="2:16">
      <c r="B270" s="7"/>
      <c r="F270" s="4"/>
      <c r="G270" s="5"/>
      <c r="H270" s="6"/>
      <c r="I270" s="226"/>
      <c r="J270" s="226"/>
      <c r="K270" s="226"/>
      <c r="L270" s="226"/>
      <c r="M270" s="8">
        <f>Tableau3[[#This Row],[CODE]]</f>
        <v>0</v>
      </c>
      <c r="N270" s="8">
        <f>IFERROR(SEARCH(SAV!$M$6,B270),0)</f>
        <v>0</v>
      </c>
      <c r="O270" s="8" t="str">
        <f>IF(N270=0,"",COUNTIF($N$2:N270,1))</f>
        <v/>
      </c>
      <c r="P270" s="8" t="str">
        <f t="shared" si="1"/>
        <v/>
      </c>
    </row>
    <row r="271" spans="2:16">
      <c r="B271" s="7"/>
      <c r="F271" s="4"/>
      <c r="G271" s="5"/>
      <c r="H271" s="6"/>
      <c r="I271" s="226"/>
      <c r="J271" s="226"/>
      <c r="K271" s="226"/>
      <c r="L271" s="226"/>
      <c r="M271" s="8">
        <f>Tableau3[[#This Row],[CODE]]</f>
        <v>0</v>
      </c>
      <c r="N271" s="8">
        <f>IFERROR(SEARCH(SAV!$M$6,B271),0)</f>
        <v>0</v>
      </c>
      <c r="O271" s="8" t="str">
        <f>IF(N271=0,"",COUNTIF($N$2:N271,1))</f>
        <v/>
      </c>
      <c r="P271" s="8" t="str">
        <f t="shared" si="1"/>
        <v/>
      </c>
    </row>
    <row r="272" spans="2:16">
      <c r="B272" s="7"/>
      <c r="F272" s="4"/>
      <c r="G272" s="5"/>
      <c r="H272" s="6"/>
      <c r="I272" s="226"/>
      <c r="J272" s="226"/>
      <c r="K272" s="226"/>
      <c r="L272" s="226"/>
      <c r="M272" s="8">
        <f>Tableau3[[#This Row],[CODE]]</f>
        <v>0</v>
      </c>
      <c r="N272" s="8">
        <f>IFERROR(SEARCH(SAV!$M$6,B272),0)</f>
        <v>0</v>
      </c>
      <c r="O272" s="8" t="str">
        <f>IF(N272=0,"",COUNTIF($N$2:N272,1))</f>
        <v/>
      </c>
      <c r="P272" s="8" t="str">
        <f t="shared" si="1"/>
        <v/>
      </c>
    </row>
    <row r="273" spans="2:16">
      <c r="B273" s="7"/>
      <c r="F273" s="4"/>
      <c r="G273" s="5"/>
      <c r="H273" s="6"/>
      <c r="I273" s="226"/>
      <c r="J273" s="226"/>
      <c r="K273" s="226"/>
      <c r="L273" s="226"/>
      <c r="M273" s="8">
        <f>Tableau3[[#This Row],[CODE]]</f>
        <v>0</v>
      </c>
      <c r="N273" s="8">
        <f>IFERROR(SEARCH(SAV!$M$6,B273),0)</f>
        <v>0</v>
      </c>
      <c r="O273" s="8" t="str">
        <f>IF(N273=0,"",COUNTIF($N$2:N273,1))</f>
        <v/>
      </c>
      <c r="P273" s="8" t="str">
        <f t="shared" si="1"/>
        <v/>
      </c>
    </row>
    <row r="274" spans="2:16">
      <c r="B274" s="7"/>
      <c r="F274" s="4"/>
      <c r="G274" s="5"/>
      <c r="H274" s="6"/>
      <c r="I274" s="226"/>
      <c r="J274" s="226"/>
      <c r="K274" s="226"/>
      <c r="L274" s="226"/>
      <c r="M274" s="8">
        <f>Tableau3[[#This Row],[CODE]]</f>
        <v>0</v>
      </c>
      <c r="N274" s="8">
        <f>IFERROR(SEARCH(SAV!$M$6,B274),0)</f>
        <v>0</v>
      </c>
      <c r="O274" s="8" t="str">
        <f>IF(N274=0,"",COUNTIF($N$2:N274,1))</f>
        <v/>
      </c>
      <c r="P274" s="8" t="str">
        <f t="shared" si="1"/>
        <v/>
      </c>
    </row>
    <row r="275" spans="2:16">
      <c r="B275" s="7"/>
      <c r="F275" s="4"/>
      <c r="G275" s="5"/>
      <c r="H275" s="6"/>
      <c r="I275" s="226"/>
      <c r="J275" s="226"/>
      <c r="K275" s="226"/>
      <c r="L275" s="226"/>
      <c r="M275" s="8">
        <f>Tableau3[[#This Row],[CODE]]</f>
        <v>0</v>
      </c>
      <c r="N275" s="8">
        <f>IFERROR(SEARCH(SAV!$M$6,B275),0)</f>
        <v>0</v>
      </c>
      <c r="O275" s="8" t="str">
        <f>IF(N275=0,"",COUNTIF($N$2:N275,1))</f>
        <v/>
      </c>
      <c r="P275" s="8" t="str">
        <f t="shared" si="1"/>
        <v/>
      </c>
    </row>
    <row r="276" spans="2:16">
      <c r="B276" s="7"/>
      <c r="F276" s="4"/>
      <c r="G276" s="5"/>
      <c r="H276" s="6"/>
      <c r="I276" s="226"/>
      <c r="J276" s="226"/>
      <c r="K276" s="226"/>
      <c r="L276" s="226"/>
      <c r="M276" s="8">
        <f>Tableau3[[#This Row],[CODE]]</f>
        <v>0</v>
      </c>
      <c r="N276" s="8">
        <f>IFERROR(SEARCH(SAV!$M$6,B276),0)</f>
        <v>0</v>
      </c>
      <c r="O276" s="8" t="str">
        <f>IF(N276=0,"",COUNTIF($N$2:N276,1))</f>
        <v/>
      </c>
      <c r="P276" s="8" t="str">
        <f t="shared" si="1"/>
        <v/>
      </c>
    </row>
    <row r="277" spans="2:16">
      <c r="B277" s="7"/>
      <c r="F277" s="4"/>
      <c r="G277" s="5"/>
      <c r="H277" s="6"/>
      <c r="I277" s="226"/>
      <c r="J277" s="226"/>
      <c r="K277" s="226"/>
      <c r="L277" s="226"/>
      <c r="M277" s="8">
        <f>Tableau3[[#This Row],[CODE]]</f>
        <v>0</v>
      </c>
      <c r="N277" s="8">
        <f>IFERROR(SEARCH(SAV!$M$6,B277),0)</f>
        <v>0</v>
      </c>
      <c r="O277" s="8" t="str">
        <f>IF(N277=0,"",COUNTIF($N$2:N277,1))</f>
        <v/>
      </c>
      <c r="P277" s="8" t="str">
        <f t="shared" si="1"/>
        <v/>
      </c>
    </row>
    <row r="278" spans="2:16">
      <c r="B278" s="7"/>
      <c r="F278" s="4"/>
      <c r="G278" s="5"/>
      <c r="H278" s="6"/>
      <c r="I278" s="226"/>
      <c r="J278" s="226"/>
      <c r="K278" s="226"/>
      <c r="L278" s="226"/>
      <c r="M278" s="8">
        <f>Tableau3[[#This Row],[CODE]]</f>
        <v>0</v>
      </c>
      <c r="N278" s="8">
        <f>IFERROR(SEARCH(SAV!$M$6,B278),0)</f>
        <v>0</v>
      </c>
      <c r="O278" s="8" t="str">
        <f>IF(N278=0,"",COUNTIF($N$2:N278,1))</f>
        <v/>
      </c>
      <c r="P278" s="8" t="str">
        <f t="shared" si="1"/>
        <v/>
      </c>
    </row>
    <row r="279" spans="2:16">
      <c r="B279" s="7"/>
      <c r="F279" s="4"/>
      <c r="G279" s="5"/>
      <c r="H279" s="6"/>
      <c r="I279" s="226"/>
      <c r="J279" s="226"/>
      <c r="K279" s="226"/>
      <c r="L279" s="226"/>
      <c r="M279" s="8">
        <f>Tableau3[[#This Row],[CODE]]</f>
        <v>0</v>
      </c>
      <c r="N279" s="8">
        <f>IFERROR(SEARCH(SAV!$M$6,B279),0)</f>
        <v>0</v>
      </c>
      <c r="O279" s="8" t="str">
        <f>IF(N279=0,"",COUNTIF($N$2:N279,1))</f>
        <v/>
      </c>
      <c r="P279" s="8" t="str">
        <f t="shared" si="1"/>
        <v/>
      </c>
    </row>
    <row r="280" spans="2:16">
      <c r="B280" s="7"/>
      <c r="F280" s="4"/>
      <c r="G280" s="5"/>
      <c r="H280" s="6"/>
      <c r="I280" s="226"/>
      <c r="J280" s="226"/>
      <c r="K280" s="226"/>
      <c r="L280" s="226"/>
      <c r="M280" s="8">
        <f>Tableau3[[#This Row],[CODE]]</f>
        <v>0</v>
      </c>
      <c r="N280" s="8">
        <f>IFERROR(SEARCH(SAV!$M$6,B280),0)</f>
        <v>0</v>
      </c>
      <c r="O280" s="8" t="str">
        <f>IF(N280=0,"",COUNTIF($N$2:N280,1))</f>
        <v/>
      </c>
      <c r="P280" s="8" t="str">
        <f t="shared" si="1"/>
        <v/>
      </c>
    </row>
    <row r="281" spans="2:16">
      <c r="B281" s="7"/>
      <c r="F281" s="4"/>
      <c r="G281" s="5"/>
      <c r="H281" s="6"/>
      <c r="I281" s="226"/>
      <c r="J281" s="226"/>
      <c r="K281" s="226"/>
      <c r="L281" s="226"/>
      <c r="M281" s="8">
        <f>Tableau3[[#This Row],[CODE]]</f>
        <v>0</v>
      </c>
      <c r="N281" s="8">
        <f>IFERROR(SEARCH(SAV!$M$6,B281),0)</f>
        <v>0</v>
      </c>
      <c r="O281" s="8" t="str">
        <f>IF(N281=0,"",COUNTIF($N$2:N281,1))</f>
        <v/>
      </c>
      <c r="P281" s="8" t="str">
        <f t="shared" si="1"/>
        <v/>
      </c>
    </row>
    <row r="282" spans="2:16">
      <c r="B282" s="7"/>
      <c r="F282" s="4"/>
      <c r="G282" s="5"/>
      <c r="H282" s="6"/>
      <c r="I282" s="226"/>
      <c r="J282" s="226"/>
      <c r="K282" s="226"/>
      <c r="L282" s="226"/>
      <c r="M282" s="8">
        <f>Tableau3[[#This Row],[CODE]]</f>
        <v>0</v>
      </c>
      <c r="N282" s="8">
        <f>IFERROR(SEARCH(SAV!$M$6,B282),0)</f>
        <v>0</v>
      </c>
      <c r="O282" s="8" t="str">
        <f>IF(N282=0,"",COUNTIF($N$2:N282,1))</f>
        <v/>
      </c>
      <c r="P282" s="8" t="str">
        <f t="shared" si="1"/>
        <v/>
      </c>
    </row>
    <row r="283" spans="2:16">
      <c r="B283" s="7"/>
      <c r="F283" s="4"/>
      <c r="G283" s="5"/>
      <c r="H283" s="6"/>
      <c r="I283" s="226"/>
      <c r="J283" s="226"/>
      <c r="K283" s="226"/>
      <c r="L283" s="226"/>
      <c r="M283" s="8">
        <f>Tableau3[[#This Row],[CODE]]</f>
        <v>0</v>
      </c>
      <c r="N283" s="8">
        <f>IFERROR(SEARCH(SAV!$M$6,B283),0)</f>
        <v>0</v>
      </c>
      <c r="O283" s="8" t="str">
        <f>IF(N283=0,"",COUNTIF($N$2:N283,1))</f>
        <v/>
      </c>
      <c r="P283" s="8" t="str">
        <f t="shared" si="1"/>
        <v/>
      </c>
    </row>
    <row r="284" spans="2:16">
      <c r="B284" s="7"/>
      <c r="F284" s="4"/>
      <c r="G284" s="5"/>
      <c r="H284" s="6"/>
      <c r="I284" s="226"/>
      <c r="J284" s="226"/>
      <c r="K284" s="226"/>
      <c r="L284" s="226"/>
      <c r="M284" s="8">
        <f>Tableau3[[#This Row],[CODE]]</f>
        <v>0</v>
      </c>
      <c r="N284" s="8">
        <f>IFERROR(SEARCH(SAV!$M$6,B284),0)</f>
        <v>0</v>
      </c>
      <c r="O284" s="8" t="str">
        <f>IF(N284=0,"",COUNTIF($N$2:N284,1))</f>
        <v/>
      </c>
      <c r="P284" s="8" t="str">
        <f t="shared" si="1"/>
        <v/>
      </c>
    </row>
    <row r="285" spans="2:16">
      <c r="B285" s="7"/>
      <c r="F285" s="4"/>
      <c r="G285" s="5"/>
      <c r="H285" s="6"/>
      <c r="I285" s="226"/>
      <c r="J285" s="226"/>
      <c r="K285" s="226"/>
      <c r="L285" s="226"/>
      <c r="M285" s="8">
        <f>Tableau3[[#This Row],[CODE]]</f>
        <v>0</v>
      </c>
      <c r="N285" s="8">
        <f>IFERROR(SEARCH(SAV!$M$6,B285),0)</f>
        <v>0</v>
      </c>
      <c r="O285" s="8" t="str">
        <f>IF(N285=0,"",COUNTIF($N$2:N285,1))</f>
        <v/>
      </c>
      <c r="P285" s="8" t="str">
        <f t="shared" si="1"/>
        <v/>
      </c>
    </row>
    <row r="286" spans="2:16">
      <c r="B286" s="7"/>
      <c r="F286" s="4"/>
      <c r="G286" s="5"/>
      <c r="H286" s="6"/>
      <c r="I286" s="226"/>
      <c r="J286" s="226"/>
      <c r="K286" s="226"/>
      <c r="L286" s="226"/>
      <c r="M286" s="8">
        <f>Tableau3[[#This Row],[CODE]]</f>
        <v>0</v>
      </c>
      <c r="N286" s="8">
        <f>IFERROR(SEARCH(SAV!$M$6,B286),0)</f>
        <v>0</v>
      </c>
      <c r="O286" s="8" t="str">
        <f>IF(N286=0,"",COUNTIF($N$2:N286,1))</f>
        <v/>
      </c>
      <c r="P286" s="8" t="str">
        <f t="shared" si="1"/>
        <v/>
      </c>
    </row>
    <row r="287" spans="2:16">
      <c r="B287" s="7"/>
      <c r="F287" s="4"/>
      <c r="G287" s="5"/>
      <c r="H287" s="6"/>
      <c r="I287" s="226"/>
      <c r="J287" s="226"/>
      <c r="K287" s="226"/>
      <c r="L287" s="226"/>
      <c r="M287" s="8">
        <f>Tableau3[[#This Row],[CODE]]</f>
        <v>0</v>
      </c>
      <c r="N287" s="8">
        <f>IFERROR(SEARCH(SAV!$M$6,B287),0)</f>
        <v>0</v>
      </c>
      <c r="O287" s="8" t="str">
        <f>IF(N287=0,"",COUNTIF($N$2:N287,1))</f>
        <v/>
      </c>
      <c r="P287" s="8" t="str">
        <f t="shared" si="1"/>
        <v/>
      </c>
    </row>
    <row r="288" spans="2:16">
      <c r="B288" s="7"/>
      <c r="F288" s="4"/>
      <c r="G288" s="5"/>
      <c r="H288" s="6"/>
      <c r="I288" s="226"/>
      <c r="J288" s="226"/>
      <c r="K288" s="226"/>
      <c r="L288" s="226"/>
      <c r="M288" s="8">
        <f>Tableau3[[#This Row],[CODE]]</f>
        <v>0</v>
      </c>
      <c r="N288" s="8">
        <f>IFERROR(SEARCH(SAV!$M$6,B288),0)</f>
        <v>0</v>
      </c>
      <c r="O288" s="8" t="str">
        <f>IF(N288=0,"",COUNTIF($N$2:N288,1))</f>
        <v/>
      </c>
      <c r="P288" s="8" t="str">
        <f t="shared" si="1"/>
        <v/>
      </c>
    </row>
    <row r="289" spans="2:16">
      <c r="B289" s="7"/>
      <c r="F289" s="4"/>
      <c r="G289" s="5"/>
      <c r="H289" s="6"/>
      <c r="I289" s="226"/>
      <c r="J289" s="226"/>
      <c r="K289" s="226"/>
      <c r="L289" s="226"/>
      <c r="M289" s="8">
        <f>Tableau3[[#This Row],[CODE]]</f>
        <v>0</v>
      </c>
      <c r="N289" s="8">
        <f>IFERROR(SEARCH(SAV!$M$6,B289),0)</f>
        <v>0</v>
      </c>
      <c r="O289" s="8" t="str">
        <f>IF(N289=0,"",COUNTIF($N$2:N289,1))</f>
        <v/>
      </c>
      <c r="P289" s="8" t="str">
        <f t="shared" si="1"/>
        <v/>
      </c>
    </row>
    <row r="290" spans="2:16">
      <c r="B290" s="7"/>
      <c r="F290" s="4"/>
      <c r="G290" s="5"/>
      <c r="H290" s="6"/>
      <c r="I290" s="226"/>
      <c r="J290" s="226"/>
      <c r="K290" s="226"/>
      <c r="L290" s="226"/>
      <c r="M290" s="8">
        <f>Tableau3[[#This Row],[CODE]]</f>
        <v>0</v>
      </c>
      <c r="N290" s="8">
        <f>IFERROR(SEARCH(SAV!$M$6,B290),0)</f>
        <v>0</v>
      </c>
      <c r="O290" s="8" t="str">
        <f>IF(N290=0,"",COUNTIF($N$2:N290,1))</f>
        <v/>
      </c>
      <c r="P290" s="8" t="str">
        <f t="shared" si="1"/>
        <v/>
      </c>
    </row>
    <row r="291" spans="2:16">
      <c r="B291" s="7"/>
      <c r="F291" s="4"/>
      <c r="G291" s="5"/>
      <c r="H291" s="6"/>
      <c r="I291" s="226"/>
      <c r="J291" s="226"/>
      <c r="K291" s="226"/>
      <c r="L291" s="226"/>
      <c r="M291" s="8">
        <f>Tableau3[[#This Row],[CODE]]</f>
        <v>0</v>
      </c>
      <c r="N291" s="8">
        <f>IFERROR(SEARCH(SAV!$M$6,B291),0)</f>
        <v>0</v>
      </c>
      <c r="O291" s="8" t="str">
        <f>IF(N291=0,"",COUNTIF($N$2:N291,1))</f>
        <v/>
      </c>
      <c r="P291" s="8" t="str">
        <f t="shared" si="1"/>
        <v/>
      </c>
    </row>
    <row r="292" spans="2:16">
      <c r="B292" s="7"/>
      <c r="F292" s="4"/>
      <c r="G292" s="5"/>
      <c r="H292" s="6"/>
      <c r="I292" s="226"/>
      <c r="J292" s="226"/>
      <c r="K292" s="226"/>
      <c r="L292" s="226"/>
      <c r="M292" s="8">
        <f>Tableau3[[#This Row],[CODE]]</f>
        <v>0</v>
      </c>
      <c r="N292" s="8">
        <f>IFERROR(SEARCH(SAV!$M$6,B292),0)</f>
        <v>0</v>
      </c>
      <c r="O292" s="8" t="str">
        <f>IF(N292=0,"",COUNTIF($N$2:N292,1))</f>
        <v/>
      </c>
      <c r="P292" s="8" t="str">
        <f t="shared" si="1"/>
        <v/>
      </c>
    </row>
    <row r="293" spans="2:16">
      <c r="B293" s="7"/>
      <c r="F293" s="4"/>
      <c r="G293" s="5"/>
      <c r="H293" s="6"/>
      <c r="I293" s="226"/>
      <c r="J293" s="226"/>
      <c r="K293" s="226"/>
      <c r="L293" s="226"/>
      <c r="M293" s="8">
        <f>Tableau3[[#This Row],[CODE]]</f>
        <v>0</v>
      </c>
      <c r="N293" s="8">
        <f>IFERROR(SEARCH(SAV!$M$6,B293),0)</f>
        <v>0</v>
      </c>
      <c r="O293" s="8" t="str">
        <f>IF(N293=0,"",COUNTIF($N$2:N293,1))</f>
        <v/>
      </c>
      <c r="P293" s="8" t="str">
        <f t="shared" si="1"/>
        <v/>
      </c>
    </row>
    <row r="294" spans="2:16">
      <c r="B294" s="7"/>
      <c r="F294" s="4"/>
      <c r="G294" s="5"/>
      <c r="H294" s="6"/>
      <c r="I294" s="226"/>
      <c r="J294" s="226"/>
      <c r="K294" s="226"/>
      <c r="L294" s="226"/>
      <c r="M294" s="8">
        <f>Tableau3[[#This Row],[CODE]]</f>
        <v>0</v>
      </c>
      <c r="N294" s="8">
        <f>IFERROR(SEARCH(SAV!$M$6,B294),0)</f>
        <v>0</v>
      </c>
      <c r="O294" s="8" t="str">
        <f>IF(N294=0,"",COUNTIF($N$2:N294,1))</f>
        <v/>
      </c>
      <c r="P294" s="8" t="str">
        <f t="shared" si="1"/>
        <v/>
      </c>
    </row>
    <row r="295" spans="2:16">
      <c r="B295" s="7"/>
      <c r="F295" s="4"/>
      <c r="G295" s="5"/>
      <c r="H295" s="6"/>
      <c r="I295" s="226"/>
      <c r="J295" s="226"/>
      <c r="K295" s="226"/>
      <c r="L295" s="226"/>
      <c r="M295" s="8">
        <f>Tableau3[[#This Row],[CODE]]</f>
        <v>0</v>
      </c>
      <c r="N295" s="8">
        <f>IFERROR(SEARCH(SAV!$M$6,B295),0)</f>
        <v>0</v>
      </c>
      <c r="O295" s="8" t="str">
        <f>IF(N295=0,"",COUNTIF($N$2:N295,1))</f>
        <v/>
      </c>
      <c r="P295" s="8" t="str">
        <f t="shared" si="1"/>
        <v/>
      </c>
    </row>
    <row r="296" spans="2:16">
      <c r="B296" s="7"/>
      <c r="F296" s="4"/>
      <c r="G296" s="5"/>
      <c r="H296" s="6"/>
      <c r="I296" s="226"/>
      <c r="J296" s="226"/>
      <c r="K296" s="226"/>
      <c r="L296" s="226"/>
      <c r="M296" s="8">
        <f>Tableau3[[#This Row],[CODE]]</f>
        <v>0</v>
      </c>
      <c r="N296" s="8">
        <f>IFERROR(SEARCH(SAV!$M$6,B296),0)</f>
        <v>0</v>
      </c>
      <c r="O296" s="8" t="str">
        <f>IF(N296=0,"",COUNTIF($N$2:N296,1))</f>
        <v/>
      </c>
      <c r="P296" s="8" t="str">
        <f t="shared" si="1"/>
        <v/>
      </c>
    </row>
    <row r="297" spans="2:16">
      <c r="B297" s="7"/>
      <c r="F297" s="4"/>
      <c r="G297" s="5"/>
      <c r="H297" s="6"/>
      <c r="I297" s="226"/>
      <c r="J297" s="226"/>
      <c r="K297" s="226"/>
      <c r="L297" s="226"/>
      <c r="M297" s="8">
        <f>Tableau3[[#This Row],[CODE]]</f>
        <v>0</v>
      </c>
      <c r="N297" s="8">
        <f>IFERROR(SEARCH(SAV!$M$6,B297),0)</f>
        <v>0</v>
      </c>
      <c r="O297" s="8" t="str">
        <f>IF(N297=0,"",COUNTIF($N$2:N297,1))</f>
        <v/>
      </c>
      <c r="P297" s="8" t="str">
        <f t="shared" si="1"/>
        <v/>
      </c>
    </row>
    <row r="298" spans="2:16">
      <c r="B298" s="7"/>
      <c r="F298" s="4"/>
      <c r="G298" s="5"/>
      <c r="H298" s="6"/>
      <c r="I298" s="226"/>
      <c r="J298" s="226"/>
      <c r="K298" s="226"/>
      <c r="L298" s="226"/>
      <c r="M298" s="8">
        <f>Tableau3[[#This Row],[CODE]]</f>
        <v>0</v>
      </c>
      <c r="N298" s="8">
        <f>IFERROR(SEARCH(SAV!$M$6,B298),0)</f>
        <v>0</v>
      </c>
      <c r="O298" s="8" t="str">
        <f>IF(N298=0,"",COUNTIF($N$2:N298,1))</f>
        <v/>
      </c>
      <c r="P298" s="8" t="str">
        <f t="shared" si="1"/>
        <v/>
      </c>
    </row>
    <row r="299" spans="2:16">
      <c r="B299" s="7"/>
      <c r="F299" s="4"/>
      <c r="G299" s="5"/>
      <c r="H299" s="6"/>
      <c r="I299" s="226"/>
      <c r="J299" s="226"/>
      <c r="K299" s="226"/>
      <c r="L299" s="226"/>
      <c r="M299" s="8">
        <f>Tableau3[[#This Row],[CODE]]</f>
        <v>0</v>
      </c>
      <c r="N299" s="8">
        <f>IFERROR(SEARCH(SAV!$M$6,B299),0)</f>
        <v>0</v>
      </c>
      <c r="O299" s="8" t="str">
        <f>IF(N299=0,"",COUNTIF($N$2:N299,1))</f>
        <v/>
      </c>
      <c r="P299" s="8" t="str">
        <f t="shared" si="1"/>
        <v/>
      </c>
    </row>
    <row r="300" spans="2:16">
      <c r="B300" s="7"/>
      <c r="F300" s="4"/>
      <c r="G300" s="5"/>
      <c r="H300" s="6"/>
      <c r="I300" s="226"/>
      <c r="J300" s="226"/>
      <c r="K300" s="226"/>
      <c r="L300" s="226"/>
      <c r="M300" s="8">
        <f>Tableau3[[#This Row],[CODE]]</f>
        <v>0</v>
      </c>
      <c r="N300" s="8">
        <f>IFERROR(SEARCH(SAV!$M$6,B300),0)</f>
        <v>0</v>
      </c>
      <c r="O300" s="8" t="str">
        <f>IF(N300=0,"",COUNTIF($N$2:N300,1))</f>
        <v/>
      </c>
      <c r="P300" s="8" t="str">
        <f t="shared" si="1"/>
        <v/>
      </c>
    </row>
  </sheetData>
  <conditionalFormatting sqref="H2:H300">
    <cfRule type="expression" dxfId="0" priority="2">
      <formula>COUNTIF($C2,"*BIO*")&gt;0</formula>
    </cfRule>
  </conditionalFormatting>
  <dataValidations disablePrompts="1" count="1">
    <dataValidation type="list" allowBlank="1" showInputMessage="1" showErrorMessage="1" sqref="H2:H300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R7" sqref="R7"/>
    </sheetView>
  </sheetViews>
  <sheetFormatPr baseColWidth="10" defaultRowHeight="15"/>
  <cols>
    <col min="3" max="3" width="15.5703125" bestFit="1" customWidth="1"/>
  </cols>
  <sheetData>
    <row r="1" spans="2:3">
      <c r="B1" s="11" t="s">
        <v>20</v>
      </c>
      <c r="C1" s="12" t="s">
        <v>25</v>
      </c>
    </row>
    <row r="2" spans="2:3">
      <c r="B2" t="s">
        <v>21</v>
      </c>
      <c r="C2" s="10" t="s">
        <v>26</v>
      </c>
    </row>
    <row r="3" spans="2:3">
      <c r="B3" t="s">
        <v>22</v>
      </c>
      <c r="C3" s="10" t="s">
        <v>27</v>
      </c>
    </row>
    <row r="4" spans="2:3">
      <c r="B4" t="s">
        <v>23</v>
      </c>
      <c r="C4" s="10" t="s">
        <v>28</v>
      </c>
    </row>
    <row r="5" spans="2:3">
      <c r="B5" t="s">
        <v>137</v>
      </c>
      <c r="C5" s="10" t="s">
        <v>138</v>
      </c>
    </row>
    <row r="6" spans="2:3">
      <c r="B6" s="13" t="s">
        <v>9</v>
      </c>
      <c r="C6" s="11" t="s">
        <v>29</v>
      </c>
    </row>
    <row r="7" spans="2:3">
      <c r="B7" t="s">
        <v>14</v>
      </c>
      <c r="C7" t="s">
        <v>30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3" t="s">
        <v>108</v>
      </c>
    </row>
    <row r="14" spans="2:3">
      <c r="B14" s="116" t="s">
        <v>109</v>
      </c>
    </row>
    <row r="15" spans="2:3">
      <c r="B15" s="116" t="s">
        <v>110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I29" sqref="I29"/>
    </sheetView>
  </sheetViews>
  <sheetFormatPr baseColWidth="10" defaultRowHeight="15"/>
  <cols>
    <col min="1" max="1" width="0.85546875" style="138" customWidth="1"/>
    <col min="2" max="2" width="13.5703125" style="34" customWidth="1"/>
    <col min="3" max="3" width="4" style="34" customWidth="1"/>
    <col min="4" max="4" width="5.7109375" style="34" bestFit="1" customWidth="1"/>
    <col min="5" max="5" width="36.28515625" style="34" customWidth="1"/>
    <col min="6" max="6" width="8.5703125" style="34" customWidth="1"/>
    <col min="7" max="7" width="6.85546875" style="34" bestFit="1" customWidth="1"/>
    <col min="8" max="8" width="10.85546875" style="34" customWidth="1"/>
    <col min="9" max="9" width="45" style="34" customWidth="1"/>
    <col min="10" max="10" width="0.85546875" style="138" customWidth="1"/>
    <col min="11" max="11" width="5.140625" style="138" customWidth="1"/>
    <col min="12" max="12" width="15" customWidth="1"/>
    <col min="13" max="13" width="71" customWidth="1"/>
    <col min="14" max="14" width="5.140625" style="138" customWidth="1"/>
    <col min="16" max="223" width="11.42578125" customWidth="1"/>
  </cols>
  <sheetData>
    <row r="1" spans="1:19" s="138" customFormat="1" ht="5.0999999999999996" customHeight="1" thickBot="1">
      <c r="A1" s="139"/>
      <c r="B1" s="140"/>
      <c r="C1" s="140"/>
      <c r="D1" s="140"/>
      <c r="E1" s="140"/>
      <c r="F1" s="140"/>
      <c r="G1" s="140"/>
      <c r="H1" s="140"/>
      <c r="I1" s="140"/>
      <c r="J1" s="139"/>
      <c r="K1" s="139"/>
      <c r="L1" s="139"/>
      <c r="M1" s="139"/>
      <c r="N1" s="139"/>
      <c r="O1" s="139"/>
      <c r="P1" s="139"/>
      <c r="Q1" s="139"/>
      <c r="R1" s="139"/>
      <c r="S1" s="139"/>
    </row>
    <row r="2" spans="1:19" ht="29.25">
      <c r="A2" s="139"/>
      <c r="B2" s="188" t="s">
        <v>43</v>
      </c>
      <c r="C2" s="189"/>
      <c r="D2" s="189"/>
      <c r="E2" s="189"/>
      <c r="F2" s="189"/>
      <c r="G2" s="189"/>
      <c r="H2" s="189"/>
      <c r="I2" s="190"/>
      <c r="J2" s="139"/>
      <c r="K2" s="139"/>
      <c r="L2" s="185" t="s">
        <v>121</v>
      </c>
      <c r="M2" s="186"/>
      <c r="N2" s="139"/>
      <c r="O2" s="139"/>
      <c r="P2" s="139"/>
      <c r="Q2" s="139"/>
      <c r="R2" s="139"/>
      <c r="S2" s="139"/>
    </row>
    <row r="3" spans="1:19" ht="15.75">
      <c r="A3" s="139"/>
      <c r="B3" s="191" t="s">
        <v>44</v>
      </c>
      <c r="C3" s="192"/>
      <c r="D3" s="192"/>
      <c r="E3" s="192"/>
      <c r="F3" s="192"/>
      <c r="G3" s="192"/>
      <c r="H3" s="192"/>
      <c r="I3" s="193"/>
      <c r="J3" s="139"/>
      <c r="K3" s="139"/>
      <c r="L3" s="121"/>
      <c r="M3" s="122"/>
      <c r="N3" s="139"/>
      <c r="O3" s="139"/>
      <c r="P3" s="139"/>
      <c r="Q3" s="139"/>
      <c r="R3" s="139"/>
      <c r="S3" s="139"/>
    </row>
    <row r="4" spans="1:19" ht="20.25">
      <c r="A4" s="139"/>
      <c r="B4" s="198" t="s">
        <v>120</v>
      </c>
      <c r="C4" s="199"/>
      <c r="D4" s="199"/>
      <c r="E4" s="199"/>
      <c r="F4" s="199"/>
      <c r="G4" s="199"/>
      <c r="H4" s="199"/>
      <c r="I4" s="200"/>
      <c r="J4" s="139"/>
      <c r="K4" s="139"/>
      <c r="L4" s="127" t="s">
        <v>122</v>
      </c>
      <c r="M4" s="122"/>
      <c r="N4" s="139"/>
      <c r="O4" s="139"/>
      <c r="P4" s="139"/>
      <c r="Q4" s="139"/>
      <c r="R4" s="139"/>
      <c r="S4" s="139"/>
    </row>
    <row r="5" spans="1:19">
      <c r="A5" s="139"/>
      <c r="B5" s="194" t="s">
        <v>46</v>
      </c>
      <c r="C5" s="195"/>
      <c r="D5" s="195"/>
      <c r="E5" s="195"/>
      <c r="F5" s="196" t="s">
        <v>47</v>
      </c>
      <c r="G5" s="196"/>
      <c r="H5" s="196"/>
      <c r="I5" s="197"/>
      <c r="J5" s="139"/>
      <c r="K5" s="139"/>
      <c r="L5" s="121"/>
      <c r="M5" s="122"/>
      <c r="N5" s="139"/>
      <c r="O5" s="139"/>
      <c r="P5" s="139"/>
      <c r="Q5" s="139"/>
      <c r="R5" s="139"/>
      <c r="S5" s="139"/>
    </row>
    <row r="6" spans="1:19">
      <c r="A6" s="139"/>
      <c r="B6" s="141" t="s">
        <v>48</v>
      </c>
      <c r="C6" s="142"/>
      <c r="D6" s="119"/>
      <c r="E6" s="120"/>
      <c r="F6" s="178" t="s">
        <v>50</v>
      </c>
      <c r="G6" s="178"/>
      <c r="H6" s="178"/>
      <c r="I6" s="143"/>
      <c r="J6" s="139"/>
      <c r="K6" s="139"/>
      <c r="L6" s="121" t="s">
        <v>0</v>
      </c>
      <c r="M6" s="133"/>
      <c r="N6" s="139"/>
      <c r="O6" s="139"/>
      <c r="P6" s="139"/>
      <c r="Q6" s="139"/>
      <c r="R6" s="139"/>
      <c r="S6" s="139"/>
    </row>
    <row r="7" spans="1:19">
      <c r="A7" s="139"/>
      <c r="B7" s="141" t="s">
        <v>52</v>
      </c>
      <c r="C7" s="142"/>
      <c r="D7" s="119"/>
      <c r="E7" s="120"/>
      <c r="F7" s="183" t="s">
        <v>54</v>
      </c>
      <c r="G7" s="183"/>
      <c r="H7" s="183"/>
      <c r="I7" s="143"/>
      <c r="J7" s="139"/>
      <c r="K7" s="139"/>
      <c r="L7" s="121" t="s">
        <v>1</v>
      </c>
      <c r="M7" s="134"/>
      <c r="N7" s="139"/>
      <c r="O7" s="139"/>
      <c r="P7" s="139"/>
      <c r="Q7" s="139"/>
      <c r="R7" s="139"/>
      <c r="S7" s="139"/>
    </row>
    <row r="8" spans="1:19">
      <c r="A8" s="139"/>
      <c r="B8" s="141" t="s">
        <v>56</v>
      </c>
      <c r="C8" s="142"/>
      <c r="D8" s="119"/>
      <c r="E8" s="120"/>
      <c r="F8" s="183" t="s">
        <v>58</v>
      </c>
      <c r="G8" s="183"/>
      <c r="H8" s="183"/>
      <c r="I8" s="143"/>
      <c r="J8" s="139"/>
      <c r="K8" s="139"/>
      <c r="L8" s="121" t="s">
        <v>24</v>
      </c>
      <c r="M8" s="135"/>
      <c r="N8" s="139"/>
      <c r="O8" s="139"/>
      <c r="P8" s="139"/>
      <c r="Q8" s="139"/>
      <c r="R8" s="139"/>
      <c r="S8" s="139"/>
    </row>
    <row r="9" spans="1:19">
      <c r="A9" s="139"/>
      <c r="B9" s="141" t="s">
        <v>60</v>
      </c>
      <c r="C9" s="142"/>
      <c r="D9" s="119"/>
      <c r="E9" s="120"/>
      <c r="F9" s="183" t="s">
        <v>62</v>
      </c>
      <c r="G9" s="183"/>
      <c r="H9" s="183"/>
      <c r="I9" s="184"/>
      <c r="J9" s="139"/>
      <c r="K9" s="139"/>
      <c r="L9" s="121"/>
      <c r="M9" s="122"/>
      <c r="N9" s="139"/>
      <c r="O9" s="139"/>
      <c r="P9" s="139"/>
      <c r="Q9" s="139"/>
      <c r="R9" s="139"/>
      <c r="S9" s="139"/>
    </row>
    <row r="10" spans="1:19">
      <c r="A10" s="139"/>
      <c r="B10" s="141" t="s">
        <v>63</v>
      </c>
      <c r="C10" s="142"/>
      <c r="D10" s="119"/>
      <c r="E10" s="120"/>
      <c r="F10" s="183"/>
      <c r="G10" s="183"/>
      <c r="H10" s="183"/>
      <c r="I10" s="184"/>
      <c r="J10" s="139"/>
      <c r="K10" s="139"/>
      <c r="L10" s="127" t="s">
        <v>123</v>
      </c>
      <c r="M10" s="122"/>
      <c r="N10" s="139"/>
      <c r="O10" s="139"/>
      <c r="P10" s="139"/>
      <c r="Q10" s="139"/>
      <c r="R10" s="139"/>
      <c r="S10" s="139"/>
    </row>
    <row r="11" spans="1:19">
      <c r="A11" s="139"/>
      <c r="B11" s="141" t="s">
        <v>58</v>
      </c>
      <c r="C11" s="142"/>
      <c r="D11" s="119"/>
      <c r="E11" s="120"/>
      <c r="F11" s="183" t="s">
        <v>64</v>
      </c>
      <c r="G11" s="183"/>
      <c r="H11" s="183"/>
      <c r="I11" s="143"/>
      <c r="J11" s="139"/>
      <c r="K11" s="139"/>
      <c r="L11" s="121"/>
      <c r="M11" s="122"/>
      <c r="N11" s="139"/>
      <c r="O11" s="139"/>
      <c r="P11" s="139"/>
      <c r="Q11" s="139"/>
      <c r="R11" s="139"/>
      <c r="S11" s="139"/>
    </row>
    <row r="12" spans="1:19">
      <c r="A12" s="139"/>
      <c r="B12" s="141" t="s">
        <v>54</v>
      </c>
      <c r="C12" s="142"/>
      <c r="D12" s="119"/>
      <c r="E12" s="120"/>
      <c r="F12" s="178" t="s">
        <v>66</v>
      </c>
      <c r="G12" s="178"/>
      <c r="H12" s="178"/>
      <c r="I12" s="187"/>
      <c r="J12" s="139"/>
      <c r="K12" s="139"/>
      <c r="L12" s="121" t="s">
        <v>124</v>
      </c>
      <c r="M12" s="136"/>
      <c r="N12" s="139"/>
      <c r="O12" s="139"/>
      <c r="P12" s="139"/>
      <c r="Q12" s="139"/>
      <c r="R12" s="139"/>
      <c r="S12" s="139"/>
    </row>
    <row r="13" spans="1:19">
      <c r="A13" s="139"/>
      <c r="B13" s="141" t="s">
        <v>67</v>
      </c>
      <c r="C13" s="142"/>
      <c r="D13" s="119"/>
      <c r="E13" s="120"/>
      <c r="F13" s="178"/>
      <c r="G13" s="178"/>
      <c r="H13" s="178"/>
      <c r="I13" s="187"/>
      <c r="J13" s="139"/>
      <c r="K13" s="139"/>
      <c r="L13" s="121" t="s">
        <v>111</v>
      </c>
      <c r="M13" s="137"/>
      <c r="N13" s="139"/>
      <c r="O13" s="139"/>
      <c r="P13" s="139"/>
      <c r="Q13" s="139"/>
      <c r="R13" s="139"/>
      <c r="S13" s="139"/>
    </row>
    <row r="14" spans="1:19">
      <c r="A14" s="139"/>
      <c r="B14" s="141" t="s">
        <v>69</v>
      </c>
      <c r="C14" s="142"/>
      <c r="D14" s="119"/>
      <c r="E14" s="160"/>
      <c r="F14" s="178" t="s">
        <v>64</v>
      </c>
      <c r="G14" s="178"/>
      <c r="H14" s="178"/>
      <c r="I14" s="174"/>
      <c r="J14" s="139"/>
      <c r="K14" s="139"/>
      <c r="L14" s="123"/>
      <c r="M14" s="124"/>
      <c r="N14" s="139"/>
      <c r="O14" s="139"/>
      <c r="P14" s="139"/>
      <c r="Q14" s="139"/>
      <c r="R14" s="139"/>
      <c r="S14" s="139"/>
    </row>
    <row r="15" spans="1:19">
      <c r="A15" s="139"/>
      <c r="B15" s="179" t="s">
        <v>71</v>
      </c>
      <c r="C15" s="180"/>
      <c r="D15" s="180"/>
      <c r="E15" s="180"/>
      <c r="F15" s="181" t="s">
        <v>134</v>
      </c>
      <c r="G15" s="181"/>
      <c r="H15" s="181"/>
      <c r="I15" s="182"/>
      <c r="J15" s="139"/>
      <c r="K15" s="139"/>
      <c r="L15" s="123"/>
      <c r="M15" s="124"/>
      <c r="N15" s="139"/>
      <c r="O15" s="139"/>
      <c r="P15" s="139"/>
      <c r="Q15" s="139"/>
      <c r="R15" s="139"/>
      <c r="S15" s="139"/>
    </row>
    <row r="16" spans="1:19" ht="15.75" thickBot="1">
      <c r="A16" s="139"/>
      <c r="B16" s="128" t="s">
        <v>112</v>
      </c>
      <c r="C16" s="129" t="s">
        <v>125</v>
      </c>
      <c r="D16" s="129" t="s">
        <v>31</v>
      </c>
      <c r="E16" s="130" t="s">
        <v>74</v>
      </c>
      <c r="F16" s="129" t="s">
        <v>41</v>
      </c>
      <c r="G16" s="129" t="s">
        <v>36</v>
      </c>
      <c r="H16" s="130" t="s">
        <v>37</v>
      </c>
      <c r="I16" s="131" t="s">
        <v>78</v>
      </c>
      <c r="J16" s="139"/>
      <c r="K16" s="139"/>
      <c r="L16" s="125"/>
      <c r="M16" s="126"/>
      <c r="N16" s="139"/>
      <c r="O16" s="139"/>
      <c r="P16" s="139"/>
      <c r="Q16" s="139"/>
      <c r="R16" s="139"/>
      <c r="S16" s="139"/>
    </row>
    <row r="17" spans="1:19" hidden="1">
      <c r="A17" s="139"/>
      <c r="B17" s="128"/>
      <c r="C17" s="132">
        <f ca="1">CELL("ligne",C17)</f>
        <v>17</v>
      </c>
      <c r="D17" s="129"/>
      <c r="E17" s="130"/>
      <c r="F17" s="129"/>
      <c r="G17" s="129"/>
      <c r="H17" s="130"/>
      <c r="I17" s="131"/>
      <c r="J17" s="139"/>
      <c r="K17" s="139"/>
      <c r="L17" s="139"/>
      <c r="M17" s="139"/>
      <c r="N17" s="139"/>
      <c r="O17" s="139"/>
      <c r="P17" s="139"/>
      <c r="Q17" s="139"/>
      <c r="R17" s="139"/>
      <c r="S17" s="139"/>
    </row>
    <row r="18" spans="1:19" ht="15.75" thickBot="1">
      <c r="A18" s="139"/>
      <c r="B18" s="144"/>
      <c r="C18" s="145"/>
      <c r="D18" s="145"/>
      <c r="E18" s="145"/>
      <c r="F18" s="145"/>
      <c r="G18" s="145"/>
      <c r="H18" s="145"/>
      <c r="I18" s="146"/>
      <c r="J18" s="139"/>
      <c r="K18" s="139"/>
      <c r="L18" s="139"/>
      <c r="M18" s="139"/>
      <c r="N18" s="139"/>
      <c r="O18" s="139"/>
      <c r="P18" s="139"/>
      <c r="Q18" s="139"/>
      <c r="R18" s="139"/>
      <c r="S18" s="139"/>
    </row>
    <row r="19" spans="1:19">
      <c r="A19" s="139"/>
      <c r="B19" s="140"/>
      <c r="C19" s="140"/>
      <c r="D19" s="140"/>
      <c r="E19" s="140"/>
      <c r="F19" s="140"/>
      <c r="G19" s="140"/>
      <c r="H19" s="140"/>
      <c r="I19" s="140"/>
      <c r="J19" s="139"/>
      <c r="K19" s="139"/>
      <c r="L19" s="139"/>
      <c r="M19" s="139"/>
      <c r="N19" s="139"/>
      <c r="O19" s="139"/>
      <c r="P19" s="139"/>
      <c r="Q19" s="139"/>
      <c r="R19" s="139"/>
      <c r="S19" s="139"/>
    </row>
    <row r="20" spans="1:19">
      <c r="A20" s="139"/>
      <c r="B20" s="140"/>
      <c r="C20" s="140"/>
      <c r="D20" s="140"/>
      <c r="E20" s="140"/>
      <c r="F20" s="140"/>
      <c r="G20" s="140"/>
      <c r="H20" s="140"/>
      <c r="I20" s="140"/>
      <c r="J20" s="139"/>
      <c r="K20" s="139"/>
      <c r="L20" s="139"/>
      <c r="M20" s="139"/>
      <c r="N20" s="139"/>
      <c r="O20" s="139"/>
      <c r="P20" s="139"/>
      <c r="Q20" s="139"/>
      <c r="R20" s="139"/>
      <c r="S20" s="139"/>
    </row>
    <row r="21" spans="1:19">
      <c r="A21" s="139"/>
      <c r="B21" s="140"/>
      <c r="C21" s="140"/>
      <c r="D21" s="140"/>
      <c r="E21" s="140"/>
      <c r="F21" s="140"/>
      <c r="G21" s="140"/>
      <c r="H21" s="140"/>
      <c r="I21" s="140"/>
      <c r="J21" s="139"/>
      <c r="K21" s="139"/>
      <c r="L21" s="139"/>
      <c r="M21" s="139"/>
      <c r="N21" s="139"/>
      <c r="O21" s="139"/>
      <c r="P21" s="139"/>
      <c r="Q21" s="139"/>
      <c r="R21" s="139"/>
      <c r="S21" s="139"/>
    </row>
    <row r="22" spans="1:19">
      <c r="A22" s="139"/>
      <c r="B22" s="140"/>
      <c r="C22" s="140"/>
      <c r="D22" s="140"/>
      <c r="E22" s="140"/>
      <c r="F22" s="140"/>
      <c r="G22" s="140"/>
      <c r="H22" s="140"/>
      <c r="I22" s="140"/>
      <c r="J22" s="139"/>
      <c r="K22" s="139"/>
      <c r="L22" s="139"/>
      <c r="M22" s="139"/>
      <c r="N22" s="139"/>
      <c r="O22" s="139"/>
      <c r="P22" s="139"/>
      <c r="Q22" s="139"/>
      <c r="R22" s="139"/>
      <c r="S22" s="139"/>
    </row>
    <row r="23" spans="1:19">
      <c r="A23" s="139"/>
      <c r="B23" s="140"/>
      <c r="C23" s="140"/>
      <c r="D23" s="140"/>
      <c r="E23" s="140"/>
      <c r="F23" s="140"/>
      <c r="G23" s="140"/>
      <c r="H23" s="140"/>
      <c r="I23" s="140"/>
      <c r="J23" s="139"/>
      <c r="K23" s="139"/>
      <c r="L23" s="139"/>
      <c r="M23" s="139"/>
      <c r="N23" s="139"/>
      <c r="O23" s="139"/>
      <c r="P23" s="139"/>
      <c r="Q23" s="139"/>
      <c r="R23" s="139"/>
      <c r="S23" s="139"/>
    </row>
    <row r="24" spans="1:19">
      <c r="A24" s="139"/>
      <c r="B24" s="140"/>
      <c r="C24" s="140"/>
      <c r="D24" s="140"/>
      <c r="E24" s="140"/>
      <c r="F24" s="140"/>
      <c r="G24" s="140"/>
      <c r="H24" s="140"/>
      <c r="I24" s="140"/>
      <c r="J24" s="139"/>
      <c r="K24" s="139"/>
      <c r="L24" s="139"/>
      <c r="M24" s="139"/>
      <c r="N24" s="139"/>
      <c r="O24" s="139"/>
      <c r="P24" s="139"/>
      <c r="Q24" s="139"/>
      <c r="R24" s="139"/>
      <c r="S24" s="139"/>
    </row>
    <row r="25" spans="1:19">
      <c r="A25" s="139"/>
      <c r="B25" s="140"/>
      <c r="C25" s="140"/>
      <c r="D25" s="140"/>
      <c r="E25" s="140"/>
      <c r="F25" s="140"/>
      <c r="G25" s="140"/>
      <c r="H25" s="140"/>
      <c r="I25" s="140"/>
      <c r="J25" s="139"/>
      <c r="K25" s="139"/>
      <c r="L25" s="139"/>
      <c r="M25" s="139"/>
      <c r="N25" s="139"/>
      <c r="O25" s="139"/>
      <c r="P25" s="139"/>
      <c r="Q25" s="139"/>
      <c r="R25" s="139"/>
      <c r="S25" s="139"/>
    </row>
    <row r="26" spans="1:19">
      <c r="A26" s="139"/>
      <c r="B26" s="140"/>
      <c r="C26" s="140"/>
      <c r="D26" s="140"/>
      <c r="E26" s="140"/>
      <c r="F26" s="140"/>
      <c r="G26" s="140"/>
      <c r="H26" s="140"/>
      <c r="I26" s="140"/>
      <c r="J26" s="139"/>
      <c r="K26" s="139"/>
      <c r="L26" s="139"/>
      <c r="M26" s="139"/>
      <c r="N26" s="139"/>
      <c r="O26" s="139"/>
      <c r="P26" s="139"/>
      <c r="Q26" s="139"/>
      <c r="R26" s="139"/>
      <c r="S26" s="139"/>
    </row>
    <row r="27" spans="1:19">
      <c r="A27" s="139"/>
      <c r="B27" s="140"/>
      <c r="C27" s="140"/>
      <c r="D27" s="140"/>
      <c r="E27" s="140"/>
      <c r="F27" s="140"/>
      <c r="G27" s="140"/>
      <c r="H27" s="140"/>
      <c r="I27" s="140"/>
      <c r="J27" s="139"/>
      <c r="K27" s="139"/>
      <c r="L27" s="139"/>
      <c r="M27" s="139"/>
      <c r="N27" s="139"/>
      <c r="O27" s="139"/>
      <c r="P27" s="139"/>
      <c r="Q27" s="139"/>
      <c r="R27" s="139"/>
      <c r="S27" s="139"/>
    </row>
    <row r="28" spans="1:19">
      <c r="A28" s="139"/>
      <c r="B28" s="140"/>
      <c r="C28" s="140"/>
      <c r="D28" s="140"/>
      <c r="E28" s="140"/>
      <c r="F28" s="140"/>
      <c r="G28" s="140"/>
      <c r="H28" s="140"/>
      <c r="I28" s="140"/>
      <c r="J28" s="139"/>
      <c r="K28" s="139"/>
      <c r="L28" s="139"/>
      <c r="M28" s="139"/>
      <c r="N28" s="139"/>
      <c r="O28" s="139"/>
      <c r="P28" s="139"/>
      <c r="Q28" s="139"/>
      <c r="R28" s="139"/>
      <c r="S28" s="139"/>
    </row>
    <row r="29" spans="1:19">
      <c r="A29" s="139"/>
      <c r="B29" s="140"/>
      <c r="C29" s="140"/>
      <c r="D29" s="140"/>
      <c r="E29" s="140"/>
      <c r="F29" s="140"/>
      <c r="G29" s="140"/>
      <c r="H29" s="140"/>
      <c r="I29" s="140"/>
      <c r="J29" s="139"/>
      <c r="K29" s="139"/>
      <c r="L29" s="139"/>
      <c r="M29" s="139"/>
      <c r="N29" s="139"/>
      <c r="O29" s="139"/>
      <c r="P29" s="139"/>
      <c r="Q29" s="139"/>
      <c r="R29" s="139"/>
      <c r="S29" s="139"/>
    </row>
    <row r="30" spans="1:19">
      <c r="A30" s="139"/>
      <c r="B30" s="140"/>
      <c r="C30" s="140"/>
      <c r="D30" s="140"/>
      <c r="E30" s="140"/>
      <c r="F30" s="140"/>
      <c r="G30" s="140"/>
      <c r="H30" s="140"/>
      <c r="I30" s="140"/>
      <c r="J30" s="139"/>
      <c r="K30" s="139"/>
      <c r="L30" s="139"/>
      <c r="M30" s="139"/>
      <c r="N30" s="139"/>
      <c r="O30" s="139"/>
      <c r="P30" s="139"/>
      <c r="Q30" s="139"/>
      <c r="R30" s="139"/>
      <c r="S30" s="139"/>
    </row>
    <row r="31" spans="1:19">
      <c r="A31" s="139"/>
      <c r="B31" s="140"/>
      <c r="C31" s="140"/>
      <c r="D31" s="140"/>
      <c r="E31" s="140"/>
      <c r="F31" s="140"/>
      <c r="G31" s="140"/>
      <c r="H31" s="140"/>
      <c r="I31" s="140"/>
      <c r="J31" s="139"/>
      <c r="K31" s="139"/>
      <c r="L31" s="139"/>
      <c r="M31" s="139"/>
      <c r="N31" s="139"/>
      <c r="O31" s="139"/>
      <c r="P31" s="139"/>
      <c r="Q31" s="139"/>
      <c r="R31" s="139"/>
      <c r="S31" s="139"/>
    </row>
    <row r="32" spans="1:19">
      <c r="A32" s="139"/>
      <c r="B32" s="140"/>
      <c r="C32" s="140"/>
      <c r="D32" s="140"/>
      <c r="E32" s="140"/>
      <c r="F32" s="140"/>
      <c r="G32" s="140"/>
      <c r="H32" s="140"/>
      <c r="I32" s="140"/>
      <c r="J32" s="139"/>
      <c r="K32" s="139"/>
      <c r="L32" s="139"/>
      <c r="M32" s="139"/>
      <c r="N32" s="139"/>
      <c r="O32" s="139"/>
      <c r="P32" s="139"/>
      <c r="Q32" s="139"/>
      <c r="R32" s="139"/>
      <c r="S32" s="139"/>
    </row>
    <row r="33" spans="1:19">
      <c r="A33" s="139"/>
      <c r="B33" s="140"/>
      <c r="C33" s="140"/>
      <c r="D33" s="140"/>
      <c r="E33" s="140"/>
      <c r="F33" s="140"/>
      <c r="G33" s="140"/>
      <c r="H33" s="140"/>
      <c r="I33" s="140"/>
      <c r="J33" s="139"/>
      <c r="K33" s="139"/>
      <c r="L33" s="139"/>
      <c r="M33" s="139"/>
      <c r="N33" s="139"/>
      <c r="O33" s="139"/>
      <c r="P33" s="139"/>
      <c r="Q33" s="139"/>
      <c r="R33" s="139"/>
      <c r="S33" s="139"/>
    </row>
    <row r="34" spans="1:19">
      <c r="A34" s="139"/>
      <c r="B34" s="140"/>
      <c r="C34" s="140"/>
      <c r="D34" s="140"/>
      <c r="E34" s="140"/>
      <c r="F34" s="140"/>
      <c r="G34" s="140"/>
      <c r="H34" s="140"/>
      <c r="I34" s="140"/>
      <c r="J34" s="139"/>
      <c r="K34" s="139"/>
      <c r="L34" s="139"/>
      <c r="M34" s="139"/>
      <c r="N34" s="139"/>
      <c r="O34" s="139"/>
      <c r="P34" s="139"/>
      <c r="Q34" s="139"/>
      <c r="R34" s="139"/>
      <c r="S34" s="139"/>
    </row>
    <row r="35" spans="1:19">
      <c r="A35" s="139"/>
      <c r="B35" s="140"/>
      <c r="C35" s="140"/>
      <c r="D35" s="140"/>
      <c r="E35" s="140"/>
      <c r="F35" s="140"/>
      <c r="G35" s="140"/>
      <c r="H35" s="140"/>
      <c r="I35" s="140"/>
      <c r="J35" s="139"/>
      <c r="K35" s="139"/>
      <c r="L35" s="139"/>
      <c r="M35" s="139"/>
      <c r="N35" s="139"/>
      <c r="O35" s="139"/>
      <c r="P35" s="139"/>
      <c r="Q35" s="139"/>
      <c r="R35" s="139"/>
      <c r="S35" s="139"/>
    </row>
    <row r="36" spans="1:19">
      <c r="A36" s="139"/>
      <c r="B36" s="140"/>
      <c r="C36" s="140"/>
      <c r="D36" s="140"/>
      <c r="E36" s="140"/>
      <c r="F36" s="140"/>
      <c r="G36" s="140"/>
      <c r="H36" s="140"/>
      <c r="I36" s="140"/>
      <c r="J36" s="139"/>
      <c r="K36" s="139"/>
      <c r="L36" s="139"/>
      <c r="M36" s="139"/>
      <c r="N36" s="139"/>
      <c r="O36" s="139"/>
      <c r="P36" s="139"/>
      <c r="Q36" s="139"/>
      <c r="R36" s="139"/>
      <c r="S36" s="139"/>
    </row>
    <row r="37" spans="1:19">
      <c r="A37" s="139"/>
      <c r="B37" s="140"/>
      <c r="C37" s="140"/>
      <c r="D37" s="140"/>
      <c r="E37" s="140"/>
      <c r="F37" s="140"/>
      <c r="G37" s="140"/>
      <c r="H37" s="140"/>
      <c r="I37" s="140"/>
      <c r="J37" s="139"/>
      <c r="K37" s="139"/>
      <c r="L37" s="139"/>
      <c r="M37" s="139"/>
      <c r="N37" s="139"/>
      <c r="O37" s="139"/>
      <c r="P37" s="139"/>
      <c r="Q37" s="139"/>
      <c r="R37" s="139"/>
      <c r="S37" s="139"/>
    </row>
    <row r="38" spans="1:19">
      <c r="A38" s="139"/>
      <c r="B38" s="140"/>
      <c r="C38" s="140"/>
      <c r="D38" s="140"/>
      <c r="E38" s="140"/>
      <c r="F38" s="140"/>
      <c r="G38" s="140"/>
      <c r="H38" s="140"/>
      <c r="I38" s="140"/>
      <c r="J38" s="139"/>
      <c r="K38" s="139"/>
      <c r="L38" s="139"/>
      <c r="M38" s="139"/>
      <c r="N38" s="139"/>
      <c r="O38" s="139"/>
      <c r="P38" s="139"/>
      <c r="Q38" s="139"/>
      <c r="R38" s="139"/>
      <c r="S38" s="139"/>
    </row>
    <row r="39" spans="1:19">
      <c r="A39" s="139"/>
      <c r="B39" s="140"/>
      <c r="C39" s="140"/>
      <c r="D39" s="140"/>
      <c r="E39" s="140"/>
      <c r="F39" s="140"/>
      <c r="G39" s="140"/>
      <c r="H39" s="140"/>
      <c r="I39" s="140"/>
      <c r="J39" s="139"/>
      <c r="K39" s="139"/>
      <c r="L39" s="139"/>
      <c r="M39" s="139"/>
      <c r="N39" s="139"/>
      <c r="O39" s="139"/>
      <c r="P39" s="139"/>
      <c r="Q39" s="139"/>
      <c r="R39" s="139"/>
      <c r="S39" s="139"/>
    </row>
    <row r="40" spans="1:19">
      <c r="A40" s="139"/>
      <c r="B40" s="140"/>
      <c r="C40" s="140"/>
      <c r="D40" s="140"/>
      <c r="E40" s="140"/>
      <c r="F40" s="140"/>
      <c r="G40" s="140"/>
      <c r="H40" s="140"/>
      <c r="I40" s="140"/>
      <c r="J40" s="139"/>
      <c r="K40" s="139"/>
      <c r="L40" s="139"/>
      <c r="M40" s="139"/>
      <c r="N40" s="139"/>
      <c r="O40" s="139"/>
      <c r="P40" s="139"/>
      <c r="Q40" s="139"/>
      <c r="R40" s="139"/>
      <c r="S40" s="139"/>
    </row>
    <row r="41" spans="1:19">
      <c r="A41" s="139"/>
      <c r="B41" s="140"/>
      <c r="C41" s="140"/>
      <c r="D41" s="140"/>
      <c r="E41" s="140"/>
      <c r="F41" s="140"/>
      <c r="G41" s="140"/>
      <c r="H41" s="140"/>
      <c r="I41" s="140"/>
      <c r="J41" s="139"/>
      <c r="K41" s="139"/>
      <c r="L41" s="139"/>
      <c r="M41" s="139"/>
      <c r="N41" s="139"/>
      <c r="O41" s="139"/>
      <c r="P41" s="139"/>
      <c r="Q41" s="139"/>
      <c r="R41" s="139"/>
      <c r="S41" s="139"/>
    </row>
    <row r="42" spans="1:19">
      <c r="A42" s="139"/>
      <c r="B42" s="140"/>
      <c r="C42" s="140"/>
      <c r="D42" s="140"/>
      <c r="E42" s="140"/>
      <c r="F42" s="140"/>
      <c r="G42" s="140"/>
      <c r="H42" s="140"/>
      <c r="I42" s="140"/>
      <c r="J42" s="139"/>
      <c r="K42" s="139"/>
      <c r="L42" s="139"/>
      <c r="M42" s="139"/>
      <c r="N42" s="139"/>
      <c r="O42" s="139"/>
      <c r="P42" s="139"/>
      <c r="Q42" s="139"/>
      <c r="R42" s="139"/>
      <c r="S42" s="139"/>
    </row>
    <row r="43" spans="1:19">
      <c r="A43" s="139"/>
      <c r="B43" s="140"/>
      <c r="C43" s="140"/>
      <c r="D43" s="140"/>
      <c r="E43" s="140"/>
      <c r="F43" s="140"/>
      <c r="G43" s="140"/>
      <c r="H43" s="140"/>
      <c r="I43" s="140"/>
      <c r="J43" s="139"/>
      <c r="K43" s="139"/>
      <c r="L43" s="139"/>
      <c r="M43" s="139"/>
      <c r="N43" s="139"/>
      <c r="O43" s="139"/>
      <c r="P43" s="139"/>
      <c r="Q43" s="139"/>
      <c r="R43" s="139"/>
      <c r="S43" s="139"/>
    </row>
    <row r="44" spans="1:19">
      <c r="A44" s="139"/>
      <c r="B44" s="140"/>
      <c r="C44" s="140"/>
      <c r="D44" s="140"/>
      <c r="E44" s="140"/>
      <c r="F44" s="140"/>
      <c r="G44" s="140"/>
      <c r="H44" s="140"/>
      <c r="I44" s="140"/>
      <c r="J44" s="139"/>
      <c r="K44" s="139"/>
      <c r="L44" s="139"/>
      <c r="M44" s="139"/>
      <c r="N44" s="139"/>
      <c r="O44" s="139"/>
      <c r="P44" s="139"/>
      <c r="Q44" s="139"/>
      <c r="R44" s="139"/>
      <c r="S44" s="139"/>
    </row>
    <row r="45" spans="1:19">
      <c r="A45" s="139"/>
      <c r="B45" s="140"/>
      <c r="C45" s="140"/>
      <c r="D45" s="140"/>
      <c r="E45" s="140"/>
      <c r="F45" s="140"/>
      <c r="G45" s="140"/>
      <c r="H45" s="140"/>
      <c r="I45" s="140"/>
      <c r="J45" s="139"/>
      <c r="K45" s="139"/>
      <c r="L45" s="139"/>
      <c r="M45" s="139"/>
      <c r="N45" s="139"/>
      <c r="O45" s="139"/>
      <c r="P45" s="139"/>
      <c r="Q45" s="139"/>
      <c r="R45" s="139"/>
      <c r="S45" s="139"/>
    </row>
    <row r="46" spans="1:19">
      <c r="A46" s="139"/>
      <c r="B46" s="140"/>
      <c r="C46" s="140"/>
      <c r="D46" s="140"/>
      <c r="E46" s="140"/>
      <c r="F46" s="140"/>
      <c r="G46" s="140"/>
      <c r="H46" s="140"/>
      <c r="I46" s="140"/>
      <c r="J46" s="139"/>
      <c r="K46" s="139"/>
      <c r="L46" s="139"/>
      <c r="M46" s="139"/>
      <c r="N46" s="139"/>
      <c r="O46" s="139"/>
      <c r="P46" s="139"/>
      <c r="Q46" s="139"/>
      <c r="R46" s="139"/>
      <c r="S46" s="139"/>
    </row>
    <row r="47" spans="1:19">
      <c r="A47" s="139"/>
      <c r="B47" s="140"/>
      <c r="C47" s="140"/>
      <c r="D47" s="140"/>
      <c r="E47" s="140"/>
      <c r="F47" s="140"/>
      <c r="G47" s="140"/>
      <c r="H47" s="140"/>
      <c r="I47" s="140"/>
      <c r="J47" s="139"/>
      <c r="K47" s="139"/>
      <c r="L47" s="139"/>
      <c r="M47" s="139"/>
      <c r="N47" s="139"/>
      <c r="O47" s="139"/>
      <c r="P47" s="139"/>
      <c r="Q47" s="139"/>
      <c r="R47" s="139"/>
      <c r="S47" s="139"/>
    </row>
    <row r="48" spans="1:19">
      <c r="A48" s="139"/>
      <c r="B48" s="140"/>
      <c r="C48" s="140"/>
      <c r="D48" s="140"/>
      <c r="E48" s="140"/>
      <c r="F48" s="140"/>
      <c r="G48" s="140"/>
      <c r="H48" s="140"/>
      <c r="I48" s="140"/>
      <c r="J48" s="139"/>
      <c r="K48" s="139"/>
      <c r="L48" s="139"/>
      <c r="M48" s="139"/>
      <c r="N48" s="139"/>
      <c r="O48" s="139"/>
      <c r="P48" s="139"/>
      <c r="Q48" s="139"/>
      <c r="R48" s="139"/>
      <c r="S48" s="139"/>
    </row>
    <row r="49" spans="1:19">
      <c r="A49" s="139"/>
      <c r="B49" s="140"/>
      <c r="C49" s="140"/>
      <c r="D49" s="140"/>
      <c r="E49" s="140"/>
      <c r="F49" s="140"/>
      <c r="G49" s="140"/>
      <c r="H49" s="140"/>
      <c r="I49" s="140"/>
      <c r="J49" s="139"/>
      <c r="K49" s="139"/>
      <c r="L49" s="139"/>
      <c r="M49" s="139"/>
      <c r="N49" s="139"/>
      <c r="O49" s="139"/>
      <c r="P49" s="139"/>
      <c r="Q49" s="139"/>
      <c r="R49" s="139"/>
      <c r="S49" s="139"/>
    </row>
    <row r="50" spans="1:19">
      <c r="A50" s="139"/>
      <c r="B50" s="140"/>
      <c r="C50" s="140"/>
      <c r="D50" s="140"/>
      <c r="E50" s="140"/>
      <c r="F50" s="140"/>
      <c r="G50" s="140"/>
      <c r="H50" s="140"/>
      <c r="I50" s="140"/>
      <c r="J50" s="139"/>
      <c r="K50" s="139"/>
      <c r="L50" s="139"/>
      <c r="M50" s="139"/>
      <c r="N50" s="139"/>
      <c r="O50" s="139"/>
      <c r="P50" s="139"/>
      <c r="Q50" s="139"/>
      <c r="R50" s="139"/>
      <c r="S50" s="139"/>
    </row>
    <row r="51" spans="1:19">
      <c r="A51" s="139"/>
      <c r="B51" s="140"/>
      <c r="C51" s="140"/>
      <c r="D51" s="140"/>
      <c r="E51" s="140"/>
      <c r="F51" s="140"/>
      <c r="G51" s="140"/>
      <c r="H51" s="140"/>
      <c r="I51" s="140"/>
      <c r="J51" s="139"/>
      <c r="K51" s="139"/>
      <c r="L51" s="139"/>
      <c r="M51" s="139"/>
      <c r="N51" s="139"/>
      <c r="O51" s="139"/>
      <c r="P51" s="139"/>
      <c r="Q51" s="139"/>
      <c r="R51" s="139"/>
      <c r="S51" s="139"/>
    </row>
    <row r="52" spans="1:19">
      <c r="A52" s="139"/>
      <c r="B52" s="140"/>
      <c r="C52" s="140"/>
      <c r="D52" s="140"/>
      <c r="E52" s="140"/>
      <c r="F52" s="140"/>
      <c r="G52" s="140"/>
      <c r="H52" s="140"/>
      <c r="I52" s="140"/>
      <c r="J52" s="139"/>
      <c r="K52" s="139"/>
      <c r="L52" s="139"/>
      <c r="M52" s="139"/>
      <c r="N52" s="139"/>
      <c r="O52" s="139"/>
      <c r="P52" s="139"/>
      <c r="Q52" s="139"/>
      <c r="R52" s="139"/>
      <c r="S52" s="139"/>
    </row>
    <row r="53" spans="1:19">
      <c r="A53" s="139"/>
      <c r="B53" s="140"/>
      <c r="C53" s="140"/>
      <c r="D53" s="140"/>
      <c r="E53" s="140"/>
      <c r="F53" s="140"/>
      <c r="G53" s="140"/>
      <c r="H53" s="140"/>
      <c r="I53" s="140"/>
      <c r="J53" s="139"/>
      <c r="K53" s="139"/>
      <c r="L53" s="139"/>
      <c r="M53" s="139"/>
      <c r="N53" s="139"/>
      <c r="O53" s="139"/>
      <c r="P53" s="139"/>
      <c r="Q53" s="139"/>
      <c r="R53" s="139"/>
      <c r="S53" s="139"/>
    </row>
    <row r="54" spans="1:19">
      <c r="A54" s="139"/>
      <c r="B54" s="140"/>
      <c r="C54" s="140"/>
      <c r="D54" s="140"/>
      <c r="E54" s="140"/>
      <c r="F54" s="140"/>
      <c r="G54" s="140"/>
      <c r="H54" s="140"/>
      <c r="I54" s="140"/>
      <c r="J54" s="139"/>
      <c r="K54" s="139"/>
      <c r="L54" s="139"/>
      <c r="M54" s="139"/>
      <c r="N54" s="139"/>
      <c r="O54" s="139"/>
      <c r="P54" s="139"/>
      <c r="Q54" s="139"/>
      <c r="R54" s="139"/>
      <c r="S54" s="139"/>
    </row>
    <row r="55" spans="1:19">
      <c r="A55" s="139"/>
      <c r="B55" s="140"/>
      <c r="C55" s="140"/>
      <c r="D55" s="140"/>
      <c r="E55" s="140"/>
      <c r="F55" s="140"/>
      <c r="G55" s="140"/>
      <c r="H55" s="140"/>
      <c r="I55" s="140"/>
      <c r="J55" s="139"/>
      <c r="K55" s="139"/>
      <c r="L55" s="139"/>
      <c r="M55" s="139"/>
      <c r="N55" s="139"/>
      <c r="O55" s="139"/>
      <c r="P55" s="139"/>
      <c r="Q55" s="139"/>
      <c r="R55" s="139"/>
      <c r="S55" s="139"/>
    </row>
    <row r="56" spans="1:19">
      <c r="A56" s="139"/>
      <c r="B56" s="140"/>
      <c r="C56" s="140"/>
      <c r="D56" s="140"/>
      <c r="E56" s="140"/>
      <c r="F56" s="140"/>
      <c r="G56" s="140"/>
      <c r="H56" s="140"/>
      <c r="I56" s="140"/>
      <c r="J56" s="139"/>
      <c r="K56" s="139"/>
      <c r="L56" s="139"/>
      <c r="M56" s="139"/>
      <c r="N56" s="139"/>
      <c r="O56" s="139"/>
      <c r="P56" s="139"/>
      <c r="Q56" s="139"/>
      <c r="R56" s="139"/>
      <c r="S56" s="139"/>
    </row>
    <row r="57" spans="1:19">
      <c r="A57" s="139"/>
      <c r="B57" s="140"/>
      <c r="C57" s="140"/>
      <c r="D57" s="140"/>
      <c r="E57" s="140"/>
      <c r="F57" s="140"/>
      <c r="G57" s="140"/>
      <c r="H57" s="140"/>
      <c r="I57" s="140"/>
      <c r="J57" s="139"/>
      <c r="K57" s="139"/>
      <c r="L57" s="139"/>
      <c r="M57" s="139"/>
      <c r="N57" s="139"/>
      <c r="O57" s="139"/>
      <c r="P57" s="139"/>
      <c r="Q57" s="139"/>
      <c r="R57" s="139"/>
      <c r="S57" s="139"/>
    </row>
    <row r="58" spans="1:19">
      <c r="A58" s="139"/>
      <c r="B58" s="140"/>
      <c r="C58" s="140"/>
      <c r="D58" s="140"/>
      <c r="E58" s="140"/>
      <c r="F58" s="140"/>
      <c r="G58" s="140"/>
      <c r="H58" s="140"/>
      <c r="I58" s="140"/>
      <c r="J58" s="139"/>
      <c r="K58" s="139"/>
      <c r="L58" s="139"/>
      <c r="M58" s="139"/>
      <c r="N58" s="139"/>
      <c r="O58" s="139"/>
      <c r="P58" s="139"/>
      <c r="Q58" s="139"/>
      <c r="R58" s="139"/>
      <c r="S58" s="139"/>
    </row>
    <row r="59" spans="1:19">
      <c r="A59" s="139"/>
      <c r="B59" s="140"/>
      <c r="C59" s="140"/>
      <c r="D59" s="140"/>
      <c r="E59" s="140"/>
      <c r="F59" s="140"/>
      <c r="G59" s="140"/>
      <c r="H59" s="140"/>
      <c r="I59" s="140"/>
      <c r="J59" s="139"/>
      <c r="K59" s="139"/>
      <c r="L59" s="139"/>
      <c r="M59" s="139"/>
      <c r="N59" s="139"/>
      <c r="O59" s="139"/>
      <c r="P59" s="139"/>
      <c r="Q59" s="139"/>
      <c r="R59" s="139"/>
      <c r="S59" s="139"/>
    </row>
    <row r="60" spans="1:19">
      <c r="A60" s="139"/>
      <c r="B60" s="140"/>
      <c r="C60" s="140"/>
      <c r="D60" s="140"/>
      <c r="E60" s="140"/>
      <c r="F60" s="140"/>
      <c r="G60" s="140"/>
      <c r="H60" s="140"/>
      <c r="I60" s="140"/>
      <c r="J60" s="139"/>
      <c r="K60" s="139"/>
      <c r="L60" s="139"/>
      <c r="M60" s="139"/>
      <c r="N60" s="139"/>
      <c r="O60" s="139"/>
      <c r="P60" s="139"/>
      <c r="Q60" s="139"/>
      <c r="R60" s="139"/>
      <c r="S60" s="139"/>
    </row>
    <row r="61" spans="1:19">
      <c r="A61" s="139"/>
      <c r="B61" s="140"/>
      <c r="C61" s="140"/>
      <c r="D61" s="140"/>
      <c r="E61" s="140"/>
      <c r="F61" s="140"/>
      <c r="G61" s="140"/>
      <c r="H61" s="140"/>
      <c r="I61" s="140"/>
      <c r="J61" s="139"/>
      <c r="K61" s="139"/>
      <c r="L61" s="139"/>
      <c r="M61" s="139"/>
      <c r="N61" s="139"/>
      <c r="O61" s="139"/>
      <c r="P61" s="139"/>
      <c r="Q61" s="139"/>
      <c r="R61" s="139"/>
      <c r="S61" s="139"/>
    </row>
    <row r="62" spans="1:19">
      <c r="A62" s="139"/>
      <c r="B62" s="140"/>
      <c r="C62" s="140"/>
      <c r="D62" s="140"/>
      <c r="E62" s="140"/>
      <c r="F62" s="140"/>
      <c r="G62" s="140"/>
      <c r="H62" s="140"/>
      <c r="I62" s="140"/>
      <c r="J62" s="139"/>
      <c r="K62" s="139"/>
      <c r="L62" s="139"/>
      <c r="M62" s="139"/>
      <c r="N62" s="139"/>
      <c r="O62" s="139"/>
      <c r="P62" s="139"/>
      <c r="Q62" s="139"/>
      <c r="R62" s="139"/>
      <c r="S62" s="139"/>
    </row>
    <row r="63" spans="1:19">
      <c r="A63" s="139"/>
      <c r="B63" s="140"/>
      <c r="C63" s="140"/>
      <c r="D63" s="140"/>
      <c r="E63" s="140"/>
      <c r="F63" s="140"/>
      <c r="G63" s="140"/>
      <c r="H63" s="140"/>
      <c r="I63" s="140"/>
      <c r="J63" s="139"/>
      <c r="K63" s="139"/>
      <c r="L63" s="139"/>
      <c r="M63" s="139"/>
      <c r="N63" s="139"/>
      <c r="O63" s="139"/>
      <c r="P63" s="139"/>
      <c r="Q63" s="139"/>
      <c r="R63" s="139"/>
      <c r="S63" s="139"/>
    </row>
    <row r="64" spans="1:19">
      <c r="A64" s="139"/>
      <c r="B64" s="140"/>
      <c r="C64" s="140"/>
      <c r="D64" s="140"/>
      <c r="E64" s="140"/>
      <c r="F64" s="140"/>
      <c r="G64" s="140"/>
      <c r="H64" s="140"/>
      <c r="I64" s="140"/>
      <c r="J64" s="139"/>
      <c r="K64" s="139"/>
      <c r="L64" s="139"/>
      <c r="M64" s="139"/>
      <c r="N64" s="139"/>
      <c r="O64" s="139"/>
      <c r="P64" s="139"/>
      <c r="Q64" s="139"/>
      <c r="R64" s="139"/>
      <c r="S64" s="139"/>
    </row>
    <row r="65" spans="1:19">
      <c r="A65" s="139"/>
      <c r="B65" s="140"/>
      <c r="C65" s="140"/>
      <c r="D65" s="140"/>
      <c r="E65" s="140"/>
      <c r="F65" s="140"/>
      <c r="G65" s="140"/>
      <c r="H65" s="140"/>
      <c r="I65" s="140"/>
      <c r="J65" s="139"/>
      <c r="K65" s="139"/>
      <c r="L65" s="139"/>
      <c r="M65" s="139"/>
      <c r="N65" s="139"/>
      <c r="O65" s="139"/>
      <c r="P65" s="139"/>
      <c r="Q65" s="139"/>
      <c r="R65" s="139"/>
      <c r="S65" s="139"/>
    </row>
    <row r="66" spans="1:19">
      <c r="A66" s="139"/>
      <c r="B66" s="140"/>
      <c r="C66" s="140"/>
      <c r="D66" s="140"/>
      <c r="E66" s="140"/>
      <c r="F66" s="140"/>
      <c r="G66" s="140"/>
      <c r="H66" s="140"/>
      <c r="I66" s="140"/>
      <c r="J66" s="139"/>
      <c r="K66" s="139"/>
      <c r="L66" s="139"/>
      <c r="M66" s="139"/>
      <c r="N66" s="139"/>
      <c r="O66" s="139"/>
      <c r="P66" s="139"/>
      <c r="Q66" s="139"/>
      <c r="R66" s="139"/>
      <c r="S66" s="139"/>
    </row>
    <row r="67" spans="1:19">
      <c r="A67" s="139"/>
      <c r="B67" s="140"/>
      <c r="C67" s="140"/>
      <c r="D67" s="140"/>
      <c r="E67" s="140"/>
      <c r="F67" s="140"/>
      <c r="G67" s="140"/>
      <c r="H67" s="140"/>
      <c r="I67" s="140"/>
      <c r="J67" s="139"/>
      <c r="K67" s="139"/>
      <c r="L67" s="139"/>
      <c r="M67" s="139"/>
      <c r="N67" s="139"/>
      <c r="O67" s="139"/>
      <c r="P67" s="139"/>
      <c r="Q67" s="139"/>
      <c r="R67" s="139"/>
      <c r="S67" s="139"/>
    </row>
    <row r="68" spans="1:19">
      <c r="A68" s="139"/>
      <c r="B68" s="140"/>
      <c r="C68" s="140"/>
      <c r="D68" s="140"/>
      <c r="E68" s="140"/>
      <c r="F68" s="140"/>
      <c r="G68" s="140"/>
      <c r="H68" s="140"/>
      <c r="I68" s="140"/>
      <c r="J68" s="139"/>
      <c r="K68" s="139"/>
      <c r="L68" s="139"/>
      <c r="M68" s="139"/>
      <c r="N68" s="139"/>
      <c r="O68" s="139"/>
      <c r="P68" s="139"/>
      <c r="Q68" s="139"/>
      <c r="R68" s="139"/>
      <c r="S68" s="139"/>
    </row>
    <row r="69" spans="1:19">
      <c r="A69" s="139"/>
      <c r="B69" s="140"/>
      <c r="C69" s="140"/>
      <c r="D69" s="140"/>
      <c r="E69" s="140"/>
      <c r="F69" s="140"/>
      <c r="G69" s="140"/>
      <c r="H69" s="140"/>
      <c r="I69" s="140"/>
      <c r="J69" s="139"/>
      <c r="K69" s="139"/>
      <c r="L69" s="139"/>
      <c r="M69" s="139"/>
      <c r="N69" s="139"/>
      <c r="O69" s="139"/>
      <c r="P69" s="139"/>
      <c r="Q69" s="139"/>
      <c r="R69" s="139"/>
      <c r="S69" s="139"/>
    </row>
    <row r="70" spans="1:19">
      <c r="A70" s="139"/>
      <c r="B70" s="140"/>
      <c r="C70" s="140"/>
      <c r="D70" s="140"/>
      <c r="E70" s="140"/>
      <c r="F70" s="140"/>
      <c r="G70" s="140"/>
      <c r="H70" s="140"/>
      <c r="I70" s="140"/>
      <c r="J70" s="139"/>
      <c r="K70" s="139"/>
      <c r="L70" s="139"/>
      <c r="M70" s="139"/>
      <c r="N70" s="139"/>
      <c r="O70" s="139"/>
      <c r="P70" s="139"/>
      <c r="Q70" s="139"/>
      <c r="R70" s="139"/>
      <c r="S70" s="139"/>
    </row>
    <row r="71" spans="1:19">
      <c r="A71" s="139"/>
      <c r="B71" s="140"/>
      <c r="C71" s="140"/>
      <c r="D71" s="140"/>
      <c r="E71" s="140"/>
      <c r="F71" s="140"/>
      <c r="G71" s="140"/>
      <c r="H71" s="140"/>
      <c r="I71" s="140"/>
      <c r="J71" s="139"/>
      <c r="K71" s="139"/>
      <c r="L71" s="139"/>
      <c r="M71" s="139"/>
      <c r="N71" s="139"/>
      <c r="O71" s="139"/>
      <c r="P71" s="139"/>
      <c r="Q71" s="139"/>
      <c r="R71" s="139"/>
      <c r="S71" s="139"/>
    </row>
    <row r="72" spans="1:19">
      <c r="A72" s="139"/>
      <c r="B72" s="140"/>
      <c r="C72" s="140"/>
      <c r="D72" s="140"/>
      <c r="E72" s="140"/>
      <c r="F72" s="140"/>
      <c r="G72" s="140"/>
      <c r="H72" s="140"/>
      <c r="I72" s="140"/>
      <c r="J72" s="139"/>
      <c r="K72" s="139"/>
      <c r="L72" s="139"/>
      <c r="M72" s="139"/>
      <c r="N72" s="139"/>
      <c r="O72" s="139"/>
      <c r="P72" s="139"/>
      <c r="Q72" s="139"/>
      <c r="R72" s="139"/>
      <c r="S72" s="139"/>
    </row>
    <row r="73" spans="1:19">
      <c r="A73" s="139"/>
      <c r="B73" s="140"/>
      <c r="C73" s="140"/>
      <c r="D73" s="140"/>
      <c r="E73" s="140"/>
      <c r="F73" s="140"/>
      <c r="G73" s="140"/>
      <c r="H73" s="140"/>
      <c r="I73" s="140"/>
      <c r="J73" s="139"/>
      <c r="K73" s="139"/>
      <c r="L73" s="139"/>
      <c r="M73" s="139"/>
      <c r="N73" s="139"/>
      <c r="O73" s="139"/>
      <c r="P73" s="139"/>
      <c r="Q73" s="139"/>
      <c r="R73" s="139"/>
      <c r="S73" s="139"/>
    </row>
    <row r="74" spans="1:19">
      <c r="A74" s="139"/>
      <c r="B74" s="140"/>
      <c r="C74" s="140"/>
      <c r="D74" s="140"/>
      <c r="E74" s="140"/>
      <c r="F74" s="140"/>
      <c r="G74" s="140"/>
      <c r="H74" s="140"/>
      <c r="I74" s="140"/>
      <c r="J74" s="139"/>
      <c r="K74" s="139"/>
      <c r="L74" s="139"/>
      <c r="M74" s="139"/>
      <c r="N74" s="139"/>
      <c r="O74" s="139"/>
      <c r="P74" s="139"/>
      <c r="Q74" s="139"/>
      <c r="R74" s="139"/>
      <c r="S74" s="139"/>
    </row>
    <row r="75" spans="1:19">
      <c r="A75" s="139"/>
      <c r="B75" s="140"/>
      <c r="C75" s="140"/>
      <c r="D75" s="140"/>
      <c r="E75" s="140"/>
      <c r="F75" s="140"/>
      <c r="G75" s="140"/>
      <c r="H75" s="140"/>
      <c r="I75" s="140"/>
      <c r="J75" s="139"/>
      <c r="K75" s="139"/>
      <c r="L75" s="139"/>
      <c r="M75" s="139"/>
      <c r="N75" s="139"/>
      <c r="O75" s="139"/>
      <c r="P75" s="139"/>
      <c r="Q75" s="139"/>
      <c r="R75" s="139"/>
      <c r="S75" s="139"/>
    </row>
    <row r="76" spans="1:19">
      <c r="A76" s="139"/>
      <c r="B76" s="140"/>
      <c r="C76" s="140"/>
      <c r="D76" s="140"/>
      <c r="E76" s="140"/>
      <c r="F76" s="140"/>
      <c r="G76" s="140"/>
      <c r="H76" s="140"/>
      <c r="I76" s="140"/>
      <c r="J76" s="139"/>
      <c r="K76" s="139"/>
      <c r="L76" s="139"/>
      <c r="M76" s="139"/>
      <c r="N76" s="139"/>
      <c r="O76" s="139"/>
      <c r="P76" s="139"/>
      <c r="Q76" s="139"/>
      <c r="R76" s="139"/>
      <c r="S76" s="139"/>
    </row>
    <row r="77" spans="1:19">
      <c r="A77" s="139"/>
      <c r="B77" s="140"/>
      <c r="C77" s="140"/>
      <c r="D77" s="140"/>
      <c r="E77" s="140"/>
      <c r="F77" s="140"/>
      <c r="G77" s="140"/>
      <c r="H77" s="140"/>
      <c r="I77" s="140"/>
      <c r="J77" s="139"/>
      <c r="K77" s="139"/>
      <c r="L77" s="139"/>
      <c r="M77" s="139"/>
      <c r="N77" s="139"/>
      <c r="O77" s="139"/>
      <c r="P77" s="139"/>
      <c r="Q77" s="139"/>
      <c r="R77" s="139"/>
      <c r="S77" s="139"/>
    </row>
    <row r="78" spans="1:19">
      <c r="A78" s="139"/>
      <c r="B78" s="140"/>
      <c r="C78" s="140"/>
      <c r="D78" s="140"/>
      <c r="E78" s="140"/>
      <c r="F78" s="140"/>
      <c r="G78" s="140"/>
      <c r="H78" s="140"/>
      <c r="I78" s="140"/>
      <c r="J78" s="139"/>
      <c r="K78" s="139"/>
      <c r="L78" s="139"/>
      <c r="M78" s="139"/>
      <c r="N78" s="139"/>
      <c r="O78" s="139"/>
      <c r="P78" s="139"/>
      <c r="Q78" s="139"/>
      <c r="R78" s="139"/>
      <c r="S78" s="139"/>
    </row>
    <row r="79" spans="1:19">
      <c r="A79" s="139"/>
      <c r="B79" s="140"/>
      <c r="C79" s="140"/>
      <c r="D79" s="140"/>
      <c r="E79" s="140"/>
      <c r="F79" s="140"/>
      <c r="G79" s="140"/>
      <c r="H79" s="140"/>
      <c r="I79" s="140"/>
      <c r="J79" s="139"/>
      <c r="K79" s="139"/>
      <c r="L79" s="139"/>
      <c r="M79" s="139"/>
      <c r="N79" s="139"/>
      <c r="O79" s="139"/>
      <c r="P79" s="139"/>
      <c r="Q79" s="139"/>
      <c r="R79" s="139"/>
      <c r="S79" s="139"/>
    </row>
    <row r="80" spans="1:19">
      <c r="A80" s="139"/>
      <c r="B80" s="140"/>
      <c r="C80" s="140"/>
      <c r="D80" s="140"/>
      <c r="E80" s="140"/>
      <c r="F80" s="140"/>
      <c r="G80" s="140"/>
      <c r="H80" s="140"/>
      <c r="I80" s="140"/>
      <c r="J80" s="139"/>
      <c r="K80" s="139"/>
      <c r="L80" s="139"/>
      <c r="M80" s="139"/>
      <c r="N80" s="139"/>
      <c r="O80" s="139"/>
      <c r="P80" s="139"/>
      <c r="Q80" s="139"/>
      <c r="R80" s="139"/>
      <c r="S80" s="139"/>
    </row>
    <row r="81" spans="1:19">
      <c r="A81" s="139"/>
      <c r="B81" s="140"/>
      <c r="C81" s="140"/>
      <c r="D81" s="140"/>
      <c r="E81" s="140"/>
      <c r="F81" s="140"/>
      <c r="G81" s="140"/>
      <c r="H81" s="140"/>
      <c r="I81" s="140"/>
      <c r="J81" s="139"/>
      <c r="K81" s="139"/>
      <c r="L81" s="139"/>
      <c r="M81" s="139"/>
      <c r="N81" s="139"/>
      <c r="O81" s="139"/>
      <c r="P81" s="139"/>
      <c r="Q81" s="139"/>
      <c r="R81" s="139"/>
      <c r="S81" s="139"/>
    </row>
    <row r="82" spans="1:19">
      <c r="A82" s="139"/>
      <c r="B82" s="140"/>
      <c r="C82" s="140"/>
      <c r="D82" s="140"/>
      <c r="E82" s="140"/>
      <c r="F82" s="140"/>
      <c r="G82" s="140"/>
      <c r="H82" s="140"/>
      <c r="I82" s="140"/>
      <c r="J82" s="139"/>
      <c r="K82" s="139"/>
      <c r="L82" s="139"/>
      <c r="M82" s="139"/>
      <c r="N82" s="139"/>
      <c r="O82" s="139"/>
      <c r="P82" s="139"/>
      <c r="Q82" s="139"/>
      <c r="R82" s="139"/>
      <c r="S82" s="139"/>
    </row>
    <row r="83" spans="1:19">
      <c r="A83" s="139"/>
      <c r="B83" s="140"/>
      <c r="C83" s="140"/>
      <c r="D83" s="140"/>
      <c r="E83" s="140"/>
      <c r="F83" s="140"/>
      <c r="G83" s="140"/>
      <c r="H83" s="140"/>
      <c r="I83" s="140"/>
      <c r="J83" s="139"/>
      <c r="K83" s="139"/>
      <c r="L83" s="139"/>
      <c r="M83" s="139"/>
      <c r="N83" s="139"/>
      <c r="O83" s="139"/>
      <c r="P83" s="139"/>
      <c r="Q83" s="139"/>
      <c r="R83" s="139"/>
      <c r="S83" s="139"/>
    </row>
    <row r="84" spans="1:19">
      <c r="A84" s="139"/>
      <c r="B84" s="140"/>
      <c r="C84" s="140"/>
      <c r="D84" s="140"/>
      <c r="E84" s="140"/>
      <c r="F84" s="140"/>
      <c r="G84" s="140"/>
      <c r="H84" s="140"/>
      <c r="I84" s="140"/>
      <c r="J84" s="139"/>
      <c r="K84" s="139"/>
      <c r="L84" s="139"/>
      <c r="M84" s="139"/>
      <c r="N84" s="139"/>
      <c r="O84" s="139"/>
      <c r="P84" s="139"/>
      <c r="Q84" s="139"/>
      <c r="R84" s="139"/>
      <c r="S84" s="139"/>
    </row>
    <row r="85" spans="1:19">
      <c r="A85" s="139"/>
      <c r="B85" s="140"/>
      <c r="C85" s="140"/>
      <c r="D85" s="140"/>
      <c r="E85" s="140"/>
      <c r="F85" s="140"/>
      <c r="G85" s="140"/>
      <c r="H85" s="140"/>
      <c r="I85" s="140"/>
      <c r="J85" s="139"/>
      <c r="K85" s="139"/>
      <c r="L85" s="139"/>
      <c r="M85" s="139"/>
      <c r="N85" s="139"/>
      <c r="O85" s="139"/>
      <c r="P85" s="139"/>
      <c r="Q85" s="139"/>
      <c r="R85" s="139"/>
      <c r="S85" s="139"/>
    </row>
    <row r="86" spans="1:19">
      <c r="A86" s="139"/>
      <c r="B86" s="140"/>
      <c r="C86" s="140"/>
      <c r="D86" s="140"/>
      <c r="E86" s="140"/>
      <c r="F86" s="140"/>
      <c r="G86" s="140"/>
      <c r="H86" s="140"/>
      <c r="I86" s="140"/>
      <c r="J86" s="139"/>
      <c r="K86" s="139"/>
      <c r="L86" s="139"/>
      <c r="M86" s="139"/>
      <c r="N86" s="139"/>
      <c r="O86" s="139"/>
      <c r="P86" s="139"/>
      <c r="Q86" s="139"/>
      <c r="R86" s="139"/>
      <c r="S86" s="139"/>
    </row>
    <row r="87" spans="1:19">
      <c r="A87" s="139"/>
      <c r="B87" s="140"/>
      <c r="C87" s="140"/>
      <c r="D87" s="140"/>
      <c r="E87" s="140"/>
      <c r="F87" s="140"/>
      <c r="G87" s="140"/>
      <c r="H87" s="140"/>
      <c r="I87" s="140"/>
      <c r="J87" s="139"/>
      <c r="K87" s="139"/>
      <c r="L87" s="139"/>
      <c r="M87" s="139"/>
      <c r="N87" s="139"/>
      <c r="O87" s="139"/>
      <c r="P87" s="139"/>
      <c r="Q87" s="139"/>
      <c r="R87" s="139"/>
      <c r="S87" s="139"/>
    </row>
    <row r="88" spans="1:19">
      <c r="A88" s="139"/>
      <c r="B88" s="140"/>
      <c r="C88" s="140"/>
      <c r="D88" s="140"/>
      <c r="E88" s="140"/>
      <c r="F88" s="140"/>
      <c r="G88" s="140"/>
      <c r="H88" s="140"/>
      <c r="I88" s="140"/>
      <c r="J88" s="139"/>
      <c r="K88" s="139"/>
      <c r="L88" s="139"/>
      <c r="M88" s="139"/>
      <c r="N88" s="139"/>
      <c r="O88" s="139"/>
      <c r="P88" s="139"/>
      <c r="Q88" s="139"/>
      <c r="R88" s="139"/>
      <c r="S88" s="139"/>
    </row>
    <row r="89" spans="1:19">
      <c r="A89" s="139"/>
      <c r="B89" s="140"/>
      <c r="C89" s="140"/>
      <c r="D89" s="140"/>
      <c r="E89" s="140"/>
      <c r="F89" s="140"/>
      <c r="G89" s="140"/>
      <c r="H89" s="140"/>
      <c r="I89" s="140"/>
      <c r="J89" s="139"/>
      <c r="K89" s="139"/>
      <c r="L89" s="139"/>
      <c r="M89" s="139"/>
      <c r="N89" s="139"/>
      <c r="O89" s="139"/>
      <c r="P89" s="139"/>
      <c r="Q89" s="139"/>
      <c r="R89" s="139"/>
      <c r="S89" s="139"/>
    </row>
    <row r="90" spans="1:19">
      <c r="A90" s="139"/>
      <c r="B90" s="140"/>
      <c r="C90" s="140"/>
      <c r="D90" s="140"/>
      <c r="E90" s="140"/>
      <c r="F90" s="140"/>
      <c r="G90" s="140"/>
      <c r="H90" s="140"/>
      <c r="I90" s="140"/>
      <c r="J90" s="139"/>
      <c r="K90" s="139"/>
      <c r="L90" s="139"/>
      <c r="M90" s="139"/>
      <c r="N90" s="139"/>
      <c r="O90" s="139"/>
      <c r="P90" s="139"/>
      <c r="Q90" s="139"/>
      <c r="R90" s="139"/>
      <c r="S90" s="139"/>
    </row>
    <row r="91" spans="1:19">
      <c r="A91" s="139"/>
      <c r="B91" s="140"/>
      <c r="C91" s="140"/>
      <c r="D91" s="140"/>
      <c r="E91" s="140"/>
      <c r="F91" s="140"/>
      <c r="G91" s="140"/>
      <c r="H91" s="140"/>
      <c r="I91" s="140"/>
      <c r="J91" s="139"/>
      <c r="K91" s="139"/>
      <c r="L91" s="139"/>
      <c r="M91" s="139"/>
      <c r="N91" s="139"/>
      <c r="O91" s="139"/>
      <c r="P91" s="139"/>
      <c r="Q91" s="139"/>
      <c r="R91" s="139"/>
      <c r="S91" s="139"/>
    </row>
    <row r="92" spans="1:19">
      <c r="A92" s="139"/>
      <c r="B92" s="140"/>
      <c r="C92" s="140"/>
      <c r="D92" s="140"/>
      <c r="E92" s="140"/>
      <c r="F92" s="140"/>
      <c r="G92" s="140"/>
      <c r="H92" s="140"/>
      <c r="I92" s="140"/>
      <c r="J92" s="139"/>
      <c r="K92" s="139"/>
      <c r="L92" s="139"/>
      <c r="M92" s="139"/>
      <c r="N92" s="139"/>
      <c r="O92" s="139"/>
      <c r="P92" s="139"/>
      <c r="Q92" s="139"/>
      <c r="R92" s="139"/>
      <c r="S92" s="139"/>
    </row>
    <row r="93" spans="1:19">
      <c r="A93" s="139"/>
      <c r="B93" s="140"/>
      <c r="C93" s="140"/>
      <c r="D93" s="140"/>
      <c r="E93" s="140"/>
      <c r="F93" s="140"/>
      <c r="G93" s="140"/>
      <c r="H93" s="140"/>
      <c r="I93" s="140"/>
      <c r="J93" s="139"/>
      <c r="K93" s="139"/>
      <c r="L93" s="139"/>
      <c r="M93" s="139"/>
      <c r="N93" s="139"/>
      <c r="O93" s="139"/>
      <c r="P93" s="139"/>
      <c r="Q93" s="139"/>
      <c r="R93" s="139"/>
      <c r="S93" s="139"/>
    </row>
    <row r="94" spans="1:19">
      <c r="A94" s="139"/>
      <c r="B94" s="140"/>
      <c r="C94" s="140"/>
      <c r="D94" s="140"/>
      <c r="E94" s="140"/>
      <c r="F94" s="140"/>
      <c r="G94" s="140"/>
      <c r="H94" s="140"/>
      <c r="I94" s="140"/>
      <c r="J94" s="139"/>
      <c r="K94" s="139"/>
      <c r="L94" s="139"/>
      <c r="M94" s="139"/>
      <c r="N94" s="139"/>
      <c r="O94" s="139"/>
      <c r="P94" s="139"/>
      <c r="Q94" s="139"/>
      <c r="R94" s="139"/>
      <c r="S94" s="139"/>
    </row>
    <row r="95" spans="1:19">
      <c r="A95" s="139"/>
      <c r="B95" s="140"/>
      <c r="C95" s="140"/>
      <c r="D95" s="140"/>
      <c r="E95" s="140"/>
      <c r="F95" s="140"/>
      <c r="G95" s="140"/>
      <c r="H95" s="140"/>
      <c r="I95" s="140"/>
      <c r="J95" s="139"/>
      <c r="K95" s="139"/>
      <c r="L95" s="139"/>
      <c r="M95" s="139"/>
      <c r="N95" s="139"/>
      <c r="O95" s="139"/>
      <c r="P95" s="139"/>
      <c r="Q95" s="139"/>
      <c r="R95" s="139"/>
      <c r="S95" s="139"/>
    </row>
    <row r="96" spans="1:19">
      <c r="A96" s="139"/>
      <c r="B96" s="140"/>
      <c r="C96" s="140"/>
      <c r="D96" s="140"/>
      <c r="E96" s="140"/>
      <c r="F96" s="140"/>
      <c r="G96" s="140"/>
      <c r="H96" s="140"/>
      <c r="I96" s="140"/>
      <c r="J96" s="139"/>
      <c r="K96" s="139"/>
      <c r="L96" s="139"/>
      <c r="M96" s="139"/>
      <c r="N96" s="139"/>
      <c r="O96" s="139"/>
      <c r="P96" s="139"/>
      <c r="Q96" s="139"/>
      <c r="R96" s="139"/>
      <c r="S96" s="139"/>
    </row>
    <row r="97" spans="1:19">
      <c r="A97" s="139"/>
      <c r="B97" s="140"/>
      <c r="C97" s="140"/>
      <c r="D97" s="140"/>
      <c r="E97" s="140"/>
      <c r="F97" s="140"/>
      <c r="G97" s="140"/>
      <c r="H97" s="140"/>
      <c r="I97" s="140"/>
      <c r="J97" s="139"/>
      <c r="K97" s="139"/>
      <c r="L97" s="139"/>
      <c r="M97" s="139"/>
      <c r="N97" s="139"/>
      <c r="O97" s="139"/>
      <c r="P97" s="139"/>
      <c r="Q97" s="139"/>
      <c r="R97" s="139"/>
      <c r="S97" s="139"/>
    </row>
    <row r="98" spans="1:19">
      <c r="A98" s="139"/>
      <c r="B98" s="140"/>
      <c r="C98" s="140"/>
      <c r="D98" s="140"/>
      <c r="E98" s="140"/>
      <c r="F98" s="140"/>
      <c r="G98" s="140"/>
      <c r="H98" s="140"/>
      <c r="I98" s="140"/>
      <c r="J98" s="139"/>
      <c r="K98" s="139"/>
      <c r="L98" s="139"/>
      <c r="M98" s="139"/>
      <c r="N98" s="139"/>
      <c r="O98" s="139"/>
      <c r="P98" s="139"/>
      <c r="Q98" s="139"/>
      <c r="R98" s="139"/>
      <c r="S98" s="139"/>
    </row>
    <row r="99" spans="1:19">
      <c r="A99" s="139"/>
      <c r="B99" s="140"/>
      <c r="C99" s="140"/>
      <c r="D99" s="140"/>
      <c r="E99" s="140"/>
      <c r="F99" s="140"/>
      <c r="G99" s="140"/>
      <c r="H99" s="140"/>
      <c r="I99" s="140"/>
      <c r="J99" s="139"/>
      <c r="K99" s="139"/>
      <c r="L99" s="139"/>
      <c r="M99" s="139"/>
      <c r="N99" s="139"/>
      <c r="O99" s="139"/>
      <c r="P99" s="139"/>
      <c r="Q99" s="139"/>
      <c r="R99" s="139"/>
      <c r="S99" s="139"/>
    </row>
    <row r="100" spans="1:19">
      <c r="A100" s="139"/>
      <c r="B100" s="140"/>
      <c r="C100" s="140"/>
      <c r="D100" s="140"/>
      <c r="E100" s="140"/>
      <c r="F100" s="140"/>
      <c r="G100" s="140"/>
      <c r="H100" s="140"/>
      <c r="I100" s="140"/>
      <c r="J100" s="139"/>
      <c r="K100" s="139"/>
      <c r="L100" s="139"/>
      <c r="M100" s="139"/>
      <c r="N100" s="139"/>
      <c r="O100" s="139"/>
      <c r="P100" s="139"/>
      <c r="Q100" s="139"/>
      <c r="R100" s="139"/>
      <c r="S100" s="139"/>
    </row>
    <row r="101" spans="1:19">
      <c r="A101" s="139"/>
      <c r="B101" s="140"/>
      <c r="C101" s="140"/>
      <c r="D101" s="140"/>
      <c r="E101" s="140"/>
      <c r="F101" s="140"/>
      <c r="G101" s="140"/>
      <c r="H101" s="140"/>
      <c r="I101" s="140"/>
      <c r="J101" s="139"/>
      <c r="K101" s="139"/>
      <c r="L101" s="139"/>
      <c r="M101" s="139"/>
      <c r="N101" s="139"/>
      <c r="O101" s="139"/>
      <c r="P101" s="139"/>
      <c r="Q101" s="139"/>
      <c r="R101" s="139"/>
      <c r="S101" s="139"/>
    </row>
    <row r="102" spans="1:19">
      <c r="A102" s="139"/>
      <c r="B102" s="140"/>
      <c r="C102" s="140"/>
      <c r="D102" s="140"/>
      <c r="E102" s="140"/>
      <c r="F102" s="140"/>
      <c r="G102" s="140"/>
      <c r="H102" s="140"/>
      <c r="I102" s="140"/>
      <c r="J102" s="139"/>
      <c r="K102" s="139"/>
      <c r="L102" s="139"/>
      <c r="M102" s="139"/>
      <c r="N102" s="139"/>
      <c r="O102" s="139"/>
      <c r="P102" s="139"/>
      <c r="Q102" s="139"/>
      <c r="R102" s="139"/>
      <c r="S102" s="139"/>
    </row>
    <row r="103" spans="1:19">
      <c r="A103" s="139"/>
      <c r="B103" s="140"/>
      <c r="C103" s="140"/>
      <c r="D103" s="140"/>
      <c r="E103" s="140"/>
      <c r="F103" s="140"/>
      <c r="G103" s="140"/>
      <c r="H103" s="140"/>
      <c r="I103" s="140"/>
      <c r="J103" s="139"/>
      <c r="K103" s="139"/>
      <c r="L103" s="139"/>
      <c r="M103" s="139"/>
      <c r="N103" s="139"/>
      <c r="O103" s="139"/>
      <c r="P103" s="139"/>
      <c r="Q103" s="139"/>
      <c r="R103" s="139"/>
      <c r="S103" s="139"/>
    </row>
    <row r="104" spans="1:19">
      <c r="A104" s="139"/>
      <c r="B104" s="140"/>
      <c r="C104" s="140"/>
      <c r="D104" s="140"/>
      <c r="E104" s="140"/>
      <c r="F104" s="140"/>
      <c r="G104" s="140"/>
      <c r="H104" s="140"/>
      <c r="I104" s="140"/>
      <c r="J104" s="139"/>
      <c r="K104" s="139"/>
      <c r="L104" s="139"/>
      <c r="M104" s="139"/>
      <c r="N104" s="139"/>
      <c r="O104" s="139"/>
      <c r="P104" s="139"/>
      <c r="Q104" s="139"/>
      <c r="R104" s="139"/>
      <c r="S104" s="139"/>
    </row>
    <row r="105" spans="1:19">
      <c r="A105" s="139"/>
      <c r="B105" s="140"/>
      <c r="C105" s="140"/>
      <c r="D105" s="140"/>
      <c r="E105" s="140"/>
      <c r="F105" s="140"/>
      <c r="G105" s="140"/>
      <c r="H105" s="140"/>
      <c r="I105" s="140"/>
      <c r="J105" s="139"/>
      <c r="K105" s="139"/>
      <c r="L105" s="139"/>
      <c r="M105" s="139"/>
      <c r="N105" s="139"/>
      <c r="O105" s="139"/>
      <c r="P105" s="139"/>
      <c r="Q105" s="139"/>
      <c r="R105" s="139"/>
      <c r="S105" s="139"/>
    </row>
    <row r="106" spans="1:19">
      <c r="A106" s="139"/>
      <c r="B106" s="140"/>
      <c r="C106" s="140"/>
      <c r="D106" s="140"/>
      <c r="E106" s="140"/>
      <c r="F106" s="140"/>
      <c r="G106" s="140"/>
      <c r="H106" s="140"/>
      <c r="I106" s="140"/>
      <c r="J106" s="139"/>
      <c r="K106" s="139"/>
      <c r="L106" s="139"/>
      <c r="M106" s="139"/>
      <c r="N106" s="139"/>
      <c r="O106" s="139"/>
      <c r="P106" s="139"/>
      <c r="Q106" s="139"/>
      <c r="R106" s="139"/>
      <c r="S106" s="139"/>
    </row>
    <row r="107" spans="1:19">
      <c r="A107" s="139"/>
      <c r="B107" s="140"/>
      <c r="C107" s="140"/>
      <c r="D107" s="140"/>
      <c r="E107" s="140"/>
      <c r="F107" s="140"/>
      <c r="G107" s="140"/>
      <c r="H107" s="140"/>
      <c r="I107" s="140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</row>
    <row r="108" spans="1:19">
      <c r="A108" s="139"/>
      <c r="B108" s="140"/>
      <c r="C108" s="140"/>
      <c r="D108" s="140"/>
      <c r="E108" s="140"/>
      <c r="F108" s="140"/>
      <c r="G108" s="140"/>
      <c r="H108" s="140"/>
      <c r="I108" s="140"/>
      <c r="J108" s="139"/>
      <c r="K108" s="139"/>
      <c r="L108" s="139"/>
      <c r="M108" s="139"/>
      <c r="N108" s="139"/>
      <c r="O108" s="139"/>
      <c r="P108" s="139"/>
      <c r="Q108" s="139"/>
      <c r="R108" s="139"/>
      <c r="S108" s="139"/>
    </row>
    <row r="109" spans="1:19">
      <c r="A109" s="139"/>
      <c r="B109" s="140"/>
      <c r="C109" s="140"/>
      <c r="D109" s="140"/>
      <c r="E109" s="140"/>
      <c r="F109" s="140"/>
      <c r="G109" s="140"/>
      <c r="H109" s="140"/>
      <c r="I109" s="140"/>
      <c r="J109" s="139"/>
      <c r="K109" s="139"/>
      <c r="L109" s="139"/>
      <c r="M109" s="139"/>
      <c r="N109" s="139"/>
      <c r="O109" s="139"/>
      <c r="P109" s="139"/>
      <c r="Q109" s="139"/>
      <c r="R109" s="139"/>
      <c r="S109" s="139"/>
    </row>
    <row r="110" spans="1:19">
      <c r="A110" s="139"/>
      <c r="B110" s="140"/>
      <c r="C110" s="140"/>
      <c r="D110" s="140"/>
      <c r="E110" s="140"/>
      <c r="F110" s="140"/>
      <c r="G110" s="140"/>
      <c r="H110" s="140"/>
      <c r="I110" s="140"/>
      <c r="J110" s="139"/>
      <c r="K110" s="139"/>
      <c r="L110" s="139"/>
      <c r="M110" s="139"/>
      <c r="N110" s="139"/>
      <c r="O110" s="139"/>
      <c r="P110" s="139"/>
      <c r="Q110" s="139"/>
      <c r="R110" s="139"/>
      <c r="S110" s="139"/>
    </row>
    <row r="111" spans="1:19">
      <c r="A111" s="139"/>
      <c r="B111" s="140"/>
      <c r="C111" s="140"/>
      <c r="D111" s="140"/>
      <c r="E111" s="140"/>
      <c r="F111" s="140"/>
      <c r="G111" s="140"/>
      <c r="H111" s="140"/>
      <c r="I111" s="140"/>
      <c r="J111" s="139"/>
      <c r="K111" s="139"/>
      <c r="L111" s="139"/>
      <c r="M111" s="139"/>
      <c r="N111" s="139"/>
      <c r="O111" s="139"/>
      <c r="P111" s="139"/>
      <c r="Q111" s="139"/>
      <c r="R111" s="139"/>
      <c r="S111" s="139"/>
    </row>
    <row r="112" spans="1:19">
      <c r="A112" s="139"/>
      <c r="B112" s="140"/>
      <c r="C112" s="140"/>
      <c r="D112" s="140"/>
      <c r="E112" s="140"/>
      <c r="F112" s="140"/>
      <c r="G112" s="140"/>
      <c r="H112" s="140"/>
      <c r="I112" s="140"/>
      <c r="J112" s="139"/>
      <c r="K112" s="139"/>
      <c r="L112" s="139"/>
      <c r="M112" s="139"/>
      <c r="N112" s="139"/>
      <c r="O112" s="139"/>
      <c r="P112" s="139"/>
      <c r="Q112" s="139"/>
      <c r="R112" s="139"/>
      <c r="S112" s="139"/>
    </row>
    <row r="113" spans="1:19">
      <c r="A113" s="139"/>
      <c r="B113" s="140"/>
      <c r="C113" s="140"/>
      <c r="D113" s="140"/>
      <c r="E113" s="140"/>
      <c r="F113" s="140"/>
      <c r="G113" s="140"/>
      <c r="H113" s="140"/>
      <c r="I113" s="140"/>
      <c r="J113" s="139"/>
      <c r="K113" s="139"/>
      <c r="L113" s="139"/>
      <c r="M113" s="139"/>
      <c r="N113" s="139"/>
      <c r="O113" s="139"/>
      <c r="P113" s="139"/>
      <c r="Q113" s="139"/>
      <c r="R113" s="139"/>
      <c r="S113" s="139"/>
    </row>
    <row r="114" spans="1:19">
      <c r="A114" s="139"/>
      <c r="B114" s="140"/>
      <c r="C114" s="140"/>
      <c r="D114" s="140"/>
      <c r="E114" s="140"/>
      <c r="F114" s="140"/>
      <c r="G114" s="140"/>
      <c r="H114" s="140"/>
      <c r="I114" s="140"/>
      <c r="J114" s="139"/>
      <c r="K114" s="139"/>
      <c r="L114" s="139"/>
      <c r="M114" s="139"/>
      <c r="N114" s="139"/>
      <c r="O114" s="139"/>
      <c r="P114" s="139"/>
      <c r="Q114" s="139"/>
      <c r="R114" s="139"/>
      <c r="S114" s="139"/>
    </row>
    <row r="115" spans="1:19">
      <c r="A115" s="139"/>
      <c r="B115" s="140"/>
      <c r="C115" s="140"/>
      <c r="D115" s="140"/>
      <c r="E115" s="140"/>
      <c r="F115" s="140"/>
      <c r="G115" s="140"/>
      <c r="H115" s="140"/>
      <c r="I115" s="140"/>
      <c r="J115" s="139"/>
      <c r="K115" s="139"/>
      <c r="L115" s="139"/>
      <c r="M115" s="139"/>
      <c r="N115" s="139"/>
      <c r="O115" s="139"/>
      <c r="P115" s="139"/>
      <c r="Q115" s="139"/>
      <c r="R115" s="139"/>
      <c r="S115" s="139"/>
    </row>
    <row r="116" spans="1:19">
      <c r="A116" s="139"/>
      <c r="B116" s="140"/>
      <c r="C116" s="140"/>
      <c r="D116" s="140"/>
      <c r="E116" s="140"/>
      <c r="F116" s="140"/>
      <c r="G116" s="140"/>
      <c r="H116" s="140"/>
      <c r="I116" s="140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</row>
    <row r="117" spans="1:19">
      <c r="A117" s="139"/>
      <c r="B117" s="140"/>
      <c r="C117" s="140"/>
      <c r="D117" s="140"/>
      <c r="E117" s="140"/>
      <c r="F117" s="140"/>
      <c r="G117" s="140"/>
      <c r="H117" s="140"/>
      <c r="I117" s="140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</row>
    <row r="118" spans="1:19">
      <c r="A118" s="139"/>
      <c r="B118" s="140"/>
      <c r="C118" s="140"/>
      <c r="D118" s="140"/>
      <c r="E118" s="140"/>
      <c r="F118" s="140"/>
      <c r="G118" s="140"/>
      <c r="H118" s="140"/>
      <c r="I118" s="140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</row>
    <row r="119" spans="1:19">
      <c r="A119" s="139"/>
      <c r="B119" s="140"/>
      <c r="C119" s="140"/>
      <c r="D119" s="140"/>
      <c r="E119" s="140"/>
      <c r="F119" s="140"/>
      <c r="G119" s="140"/>
      <c r="H119" s="140"/>
      <c r="I119" s="140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</row>
    <row r="120" spans="1:19">
      <c r="A120" s="139"/>
      <c r="B120" s="140"/>
      <c r="C120" s="140"/>
      <c r="D120" s="140"/>
      <c r="E120" s="140"/>
      <c r="F120" s="140"/>
      <c r="G120" s="140"/>
      <c r="H120" s="140"/>
      <c r="I120" s="140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</row>
    <row r="121" spans="1:19">
      <c r="A121" s="139"/>
      <c r="B121" s="140"/>
      <c r="C121" s="140"/>
      <c r="D121" s="140"/>
      <c r="E121" s="140"/>
      <c r="F121" s="140"/>
      <c r="G121" s="140"/>
      <c r="H121" s="140"/>
      <c r="I121" s="140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</row>
    <row r="122" spans="1:19">
      <c r="A122" s="139"/>
      <c r="B122" s="140"/>
      <c r="C122" s="140"/>
      <c r="D122" s="140"/>
      <c r="E122" s="140"/>
      <c r="F122" s="140"/>
      <c r="G122" s="140"/>
      <c r="H122" s="140"/>
      <c r="I122" s="140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</row>
    <row r="123" spans="1:19">
      <c r="A123" s="139"/>
      <c r="B123" s="140"/>
      <c r="C123" s="140"/>
      <c r="D123" s="140"/>
      <c r="E123" s="140"/>
      <c r="F123" s="140"/>
      <c r="G123" s="140"/>
      <c r="H123" s="140"/>
      <c r="I123" s="140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</row>
    <row r="124" spans="1:19">
      <c r="A124" s="139"/>
      <c r="B124" s="140"/>
      <c r="C124" s="140"/>
      <c r="D124" s="140"/>
      <c r="E124" s="140"/>
      <c r="F124" s="140"/>
      <c r="G124" s="140"/>
      <c r="H124" s="140"/>
      <c r="I124" s="140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</row>
    <row r="125" spans="1:19">
      <c r="A125" s="139"/>
      <c r="B125" s="140"/>
      <c r="C125" s="140"/>
      <c r="D125" s="140"/>
      <c r="E125" s="140"/>
      <c r="F125" s="140"/>
      <c r="G125" s="140"/>
      <c r="H125" s="140"/>
      <c r="I125" s="140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</row>
    <row r="126" spans="1:19">
      <c r="A126" s="139"/>
      <c r="B126" s="140"/>
      <c r="C126" s="140"/>
      <c r="D126" s="140"/>
      <c r="E126" s="140"/>
      <c r="F126" s="140"/>
      <c r="G126" s="140"/>
      <c r="H126" s="140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</row>
    <row r="127" spans="1:19">
      <c r="A127" s="139"/>
      <c r="B127" s="140"/>
      <c r="C127" s="140"/>
      <c r="D127" s="140"/>
      <c r="E127" s="140"/>
      <c r="F127" s="140"/>
      <c r="G127" s="140"/>
      <c r="H127" s="140"/>
      <c r="I127" s="140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</row>
    <row r="128" spans="1:19">
      <c r="A128" s="139"/>
      <c r="B128" s="140"/>
      <c r="C128" s="140"/>
      <c r="D128" s="140"/>
      <c r="E128" s="140"/>
      <c r="F128" s="140"/>
      <c r="G128" s="140"/>
      <c r="H128" s="140"/>
      <c r="I128" s="140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</row>
    <row r="129" spans="1:19">
      <c r="A129" s="139"/>
      <c r="B129" s="140"/>
      <c r="C129" s="140"/>
      <c r="D129" s="140"/>
      <c r="E129" s="140"/>
      <c r="F129" s="140"/>
      <c r="G129" s="140"/>
      <c r="H129" s="140"/>
      <c r="I129" s="140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</row>
    <row r="130" spans="1:19">
      <c r="A130" s="139"/>
      <c r="B130" s="140"/>
      <c r="C130" s="140"/>
      <c r="D130" s="140"/>
      <c r="E130" s="140"/>
      <c r="F130" s="140"/>
      <c r="G130" s="140"/>
      <c r="H130" s="140"/>
      <c r="I130" s="140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</row>
    <row r="131" spans="1:19">
      <c r="A131" s="139"/>
      <c r="B131" s="140"/>
      <c r="C131" s="140"/>
      <c r="D131" s="140"/>
      <c r="E131" s="140"/>
      <c r="F131" s="140"/>
      <c r="G131" s="140"/>
      <c r="H131" s="140"/>
      <c r="I131" s="140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</row>
    <row r="132" spans="1:19">
      <c r="A132" s="139"/>
      <c r="B132" s="140"/>
      <c r="C132" s="140"/>
      <c r="D132" s="140"/>
      <c r="E132" s="140"/>
      <c r="F132" s="140"/>
      <c r="G132" s="140"/>
      <c r="H132" s="140"/>
      <c r="I132" s="140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</row>
    <row r="133" spans="1:19">
      <c r="A133" s="139"/>
      <c r="B133" s="140"/>
      <c r="C133" s="140"/>
      <c r="D133" s="140"/>
      <c r="E133" s="140"/>
      <c r="F133" s="140"/>
      <c r="G133" s="140"/>
      <c r="H133" s="140"/>
      <c r="I133" s="140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</row>
    <row r="134" spans="1:19">
      <c r="A134" s="139"/>
      <c r="B134" s="140"/>
      <c r="C134" s="140"/>
      <c r="D134" s="140"/>
      <c r="E134" s="140"/>
      <c r="F134" s="140"/>
      <c r="G134" s="140"/>
      <c r="H134" s="140"/>
      <c r="I134" s="140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</row>
    <row r="135" spans="1:19">
      <c r="A135" s="139"/>
      <c r="B135" s="140"/>
      <c r="C135" s="140"/>
      <c r="D135" s="140"/>
      <c r="E135" s="140"/>
      <c r="F135" s="140"/>
      <c r="G135" s="140"/>
      <c r="H135" s="140"/>
      <c r="I135" s="140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</row>
    <row r="136" spans="1:19">
      <c r="A136" s="139"/>
      <c r="B136" s="140"/>
      <c r="C136" s="140"/>
      <c r="D136" s="140"/>
      <c r="E136" s="140"/>
      <c r="F136" s="140"/>
      <c r="G136" s="140"/>
      <c r="H136" s="140"/>
      <c r="I136" s="140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</row>
    <row r="137" spans="1:19">
      <c r="A137" s="139"/>
      <c r="B137" s="140"/>
      <c r="C137" s="140"/>
      <c r="D137" s="140"/>
      <c r="E137" s="140"/>
      <c r="F137" s="140"/>
      <c r="G137" s="140"/>
      <c r="H137" s="140"/>
      <c r="I137" s="140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</row>
    <row r="138" spans="1:19">
      <c r="A138" s="139"/>
      <c r="B138" s="140"/>
      <c r="C138" s="140"/>
      <c r="D138" s="140"/>
      <c r="E138" s="140"/>
      <c r="F138" s="140"/>
      <c r="G138" s="140"/>
      <c r="H138" s="140"/>
      <c r="I138" s="140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</row>
    <row r="139" spans="1:19">
      <c r="A139" s="139"/>
      <c r="B139" s="140"/>
      <c r="C139" s="140"/>
      <c r="D139" s="140"/>
      <c r="E139" s="140"/>
      <c r="F139" s="140"/>
      <c r="G139" s="140"/>
      <c r="H139" s="140"/>
      <c r="I139" s="140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</row>
    <row r="140" spans="1:19">
      <c r="A140" s="139"/>
      <c r="B140" s="140"/>
      <c r="C140" s="140"/>
      <c r="D140" s="140"/>
      <c r="E140" s="140"/>
      <c r="F140" s="140"/>
      <c r="G140" s="140"/>
      <c r="H140" s="140"/>
      <c r="I140" s="140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</row>
    <row r="141" spans="1:19">
      <c r="A141" s="139"/>
      <c r="B141" s="140"/>
      <c r="C141" s="140"/>
      <c r="D141" s="140"/>
      <c r="E141" s="140"/>
      <c r="F141" s="140"/>
      <c r="G141" s="140"/>
      <c r="H141" s="140"/>
      <c r="I141" s="140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</row>
    <row r="142" spans="1:19">
      <c r="A142" s="139"/>
      <c r="B142" s="140"/>
      <c r="C142" s="140"/>
      <c r="D142" s="140"/>
      <c r="E142" s="140"/>
      <c r="F142" s="140"/>
      <c r="G142" s="140"/>
      <c r="H142" s="140"/>
      <c r="I142" s="140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</row>
    <row r="143" spans="1:19">
      <c r="A143" s="139"/>
      <c r="B143" s="140"/>
      <c r="C143" s="140"/>
      <c r="D143" s="140"/>
      <c r="E143" s="140"/>
      <c r="F143" s="140"/>
      <c r="G143" s="140"/>
      <c r="H143" s="140"/>
      <c r="I143" s="140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</row>
    <row r="144" spans="1:19">
      <c r="A144" s="139"/>
      <c r="B144" s="140"/>
      <c r="C144" s="140"/>
      <c r="D144" s="140"/>
      <c r="E144" s="140"/>
      <c r="F144" s="140"/>
      <c r="G144" s="140"/>
      <c r="H144" s="140"/>
      <c r="I144" s="140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</row>
    <row r="145" spans="1:19">
      <c r="A145" s="139"/>
      <c r="B145" s="140"/>
      <c r="C145" s="140"/>
      <c r="D145" s="140"/>
      <c r="E145" s="140"/>
      <c r="F145" s="140"/>
      <c r="G145" s="140"/>
      <c r="H145" s="140"/>
      <c r="I145" s="140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</row>
    <row r="146" spans="1:19">
      <c r="A146" s="139"/>
      <c r="B146" s="140"/>
      <c r="C146" s="140"/>
      <c r="D146" s="140"/>
      <c r="E146" s="140"/>
      <c r="F146" s="140"/>
      <c r="G146" s="140"/>
      <c r="H146" s="140"/>
      <c r="I146" s="140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</row>
    <row r="147" spans="1:19">
      <c r="A147" s="139"/>
      <c r="B147" s="140"/>
      <c r="C147" s="140"/>
      <c r="D147" s="140"/>
      <c r="E147" s="140"/>
      <c r="F147" s="140"/>
      <c r="G147" s="140"/>
      <c r="H147" s="140"/>
      <c r="I147" s="140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</row>
    <row r="148" spans="1:19">
      <c r="A148" s="139"/>
      <c r="B148" s="140"/>
      <c r="C148" s="140"/>
      <c r="D148" s="140"/>
      <c r="E148" s="140"/>
      <c r="F148" s="140"/>
      <c r="G148" s="140"/>
      <c r="H148" s="140"/>
      <c r="I148" s="140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</row>
    <row r="149" spans="1:19">
      <c r="A149" s="139"/>
      <c r="B149" s="140"/>
      <c r="C149" s="140"/>
      <c r="D149" s="140"/>
      <c r="E149" s="140"/>
      <c r="F149" s="140"/>
      <c r="G149" s="140"/>
      <c r="H149" s="140"/>
      <c r="I149" s="140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</row>
    <row r="150" spans="1:19">
      <c r="A150" s="139"/>
      <c r="B150" s="140"/>
      <c r="C150" s="140"/>
      <c r="D150" s="140"/>
      <c r="E150" s="140"/>
      <c r="F150" s="140"/>
      <c r="G150" s="140"/>
      <c r="H150" s="140"/>
      <c r="I150" s="140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</row>
    <row r="151" spans="1:19">
      <c r="A151" s="139"/>
      <c r="B151" s="140"/>
      <c r="C151" s="140"/>
      <c r="D151" s="140"/>
      <c r="E151" s="140"/>
      <c r="F151" s="140"/>
      <c r="G151" s="140"/>
      <c r="H151" s="140"/>
      <c r="I151" s="140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</row>
    <row r="152" spans="1:19">
      <c r="A152" s="139"/>
      <c r="B152" s="140"/>
      <c r="C152" s="140"/>
      <c r="D152" s="140"/>
      <c r="E152" s="140"/>
      <c r="F152" s="140"/>
      <c r="G152" s="140"/>
      <c r="H152" s="140"/>
      <c r="I152" s="140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</row>
    <row r="153" spans="1:19">
      <c r="A153" s="139"/>
      <c r="B153" s="140"/>
      <c r="C153" s="140"/>
      <c r="D153" s="140"/>
      <c r="E153" s="140"/>
      <c r="F153" s="140"/>
      <c r="G153" s="140"/>
      <c r="H153" s="140"/>
      <c r="I153" s="140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</row>
    <row r="154" spans="1:19">
      <c r="A154" s="139"/>
      <c r="B154" s="140"/>
      <c r="C154" s="140"/>
      <c r="D154" s="140"/>
      <c r="E154" s="140"/>
      <c r="F154" s="140"/>
      <c r="G154" s="140"/>
      <c r="H154" s="140"/>
      <c r="I154" s="140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</row>
    <row r="155" spans="1:19">
      <c r="A155" s="139"/>
      <c r="B155" s="140"/>
      <c r="C155" s="140"/>
      <c r="D155" s="140"/>
      <c r="E155" s="140"/>
      <c r="F155" s="140"/>
      <c r="G155" s="140"/>
      <c r="H155" s="140"/>
      <c r="I155" s="140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</row>
    <row r="156" spans="1:19">
      <c r="A156" s="139"/>
      <c r="B156" s="140"/>
      <c r="C156" s="140"/>
      <c r="D156" s="140"/>
      <c r="E156" s="140"/>
      <c r="F156" s="140"/>
      <c r="G156" s="140"/>
      <c r="H156" s="140"/>
      <c r="I156" s="140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</row>
    <row r="157" spans="1:19">
      <c r="A157" s="139"/>
      <c r="B157" s="140"/>
      <c r="C157" s="140"/>
      <c r="D157" s="140"/>
      <c r="E157" s="140"/>
      <c r="F157" s="140"/>
      <c r="G157" s="140"/>
      <c r="H157" s="140"/>
      <c r="I157" s="140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</row>
    <row r="158" spans="1:19">
      <c r="A158" s="139"/>
      <c r="B158" s="140"/>
      <c r="C158" s="140"/>
      <c r="D158" s="140"/>
      <c r="E158" s="140"/>
      <c r="F158" s="140"/>
      <c r="G158" s="140"/>
      <c r="H158" s="140"/>
      <c r="I158" s="140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</row>
    <row r="159" spans="1:19">
      <c r="A159" s="139"/>
      <c r="B159" s="140"/>
      <c r="C159" s="140"/>
      <c r="D159" s="140"/>
      <c r="E159" s="140"/>
      <c r="F159" s="140"/>
      <c r="G159" s="140"/>
      <c r="H159" s="140"/>
      <c r="I159" s="140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</row>
    <row r="160" spans="1:19">
      <c r="A160" s="139"/>
      <c r="B160" s="140"/>
      <c r="C160" s="140"/>
      <c r="D160" s="140"/>
      <c r="E160" s="140"/>
      <c r="F160" s="140"/>
      <c r="G160" s="140"/>
      <c r="H160" s="140"/>
      <c r="I160" s="140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</row>
    <row r="161" spans="2:9">
      <c r="B161" s="140"/>
      <c r="C161" s="140"/>
      <c r="D161" s="140"/>
      <c r="E161" s="140"/>
      <c r="F161" s="140"/>
      <c r="G161" s="140"/>
      <c r="H161" s="140"/>
      <c r="I161" s="140"/>
    </row>
    <row r="162" spans="2:9">
      <c r="B162" s="140"/>
      <c r="C162" s="140"/>
      <c r="D162" s="140"/>
      <c r="E162" s="140"/>
      <c r="F162" s="140"/>
      <c r="G162" s="140"/>
      <c r="H162" s="140"/>
      <c r="I162" s="140"/>
    </row>
    <row r="163" spans="2:9">
      <c r="B163" s="140"/>
      <c r="C163" s="140"/>
      <c r="D163" s="140"/>
      <c r="E163" s="140"/>
      <c r="F163" s="140"/>
      <c r="G163" s="140"/>
      <c r="H163" s="140"/>
      <c r="I163" s="140"/>
    </row>
    <row r="164" spans="2:9">
      <c r="B164" s="140"/>
      <c r="C164" s="140"/>
      <c r="D164" s="140"/>
      <c r="E164" s="140"/>
      <c r="F164" s="140"/>
      <c r="G164" s="140"/>
      <c r="H164" s="140"/>
      <c r="I164" s="140"/>
    </row>
    <row r="165" spans="2:9">
      <c r="B165" s="140"/>
      <c r="C165" s="140"/>
      <c r="D165" s="140"/>
      <c r="E165" s="140"/>
      <c r="F165" s="140"/>
      <c r="G165" s="140"/>
      <c r="H165" s="140"/>
      <c r="I165" s="140"/>
    </row>
    <row r="166" spans="2:9">
      <c r="B166" s="140"/>
      <c r="C166" s="140"/>
      <c r="D166" s="140"/>
      <c r="E166" s="140"/>
      <c r="F166" s="140"/>
      <c r="G166" s="140"/>
      <c r="H166" s="140"/>
      <c r="I166" s="140"/>
    </row>
    <row r="167" spans="2:9">
      <c r="B167" s="140"/>
      <c r="C167" s="140"/>
      <c r="D167" s="140"/>
      <c r="E167" s="140"/>
      <c r="F167" s="140"/>
      <c r="G167" s="140"/>
      <c r="H167" s="140"/>
      <c r="I167" s="140"/>
    </row>
    <row r="168" spans="2:9">
      <c r="B168" s="140"/>
      <c r="C168" s="140"/>
      <c r="D168" s="140"/>
      <c r="E168" s="140"/>
      <c r="F168" s="140"/>
      <c r="G168" s="140"/>
      <c r="H168" s="140"/>
      <c r="I168" s="140"/>
    </row>
    <row r="169" spans="2:9">
      <c r="B169" s="140"/>
      <c r="C169" s="140"/>
      <c r="D169" s="140"/>
      <c r="E169" s="140"/>
      <c r="F169" s="140"/>
      <c r="G169" s="140"/>
      <c r="H169" s="140"/>
      <c r="I169" s="140"/>
    </row>
    <row r="170" spans="2:9">
      <c r="B170" s="140"/>
      <c r="C170" s="140"/>
      <c r="D170" s="140"/>
      <c r="E170" s="140"/>
      <c r="F170" s="140"/>
      <c r="G170" s="140"/>
      <c r="H170" s="140"/>
      <c r="I170" s="140"/>
    </row>
    <row r="171" spans="2:9">
      <c r="B171" s="140"/>
      <c r="C171" s="140"/>
      <c r="D171" s="140"/>
      <c r="E171" s="140"/>
      <c r="F171" s="140"/>
      <c r="G171" s="140"/>
      <c r="H171" s="140"/>
      <c r="I171" s="140"/>
    </row>
    <row r="172" spans="2:9">
      <c r="B172" s="140"/>
      <c r="C172" s="140"/>
      <c r="D172" s="140"/>
      <c r="E172" s="140"/>
      <c r="F172" s="140"/>
      <c r="G172" s="140"/>
      <c r="H172" s="140"/>
      <c r="I172" s="140"/>
    </row>
    <row r="173" spans="2:9">
      <c r="B173" s="140"/>
      <c r="C173" s="140"/>
      <c r="D173" s="140"/>
      <c r="E173" s="140"/>
      <c r="F173" s="140"/>
      <c r="G173" s="140"/>
      <c r="H173" s="140"/>
      <c r="I173" s="140"/>
    </row>
    <row r="174" spans="2:9">
      <c r="B174" s="140"/>
      <c r="C174" s="140"/>
      <c r="D174" s="140"/>
      <c r="E174" s="140"/>
      <c r="F174" s="140"/>
      <c r="G174" s="140"/>
      <c r="H174" s="140"/>
      <c r="I174" s="140"/>
    </row>
  </sheetData>
  <protectedRanges>
    <protectedRange algorithmName="SHA-512" hashValue="Rqx17eZq0POUCEtjInE1owN/W9mICnnjAaFq4aspmksP1J1QEy/w+F7EcJNy7Ftb2uDcpt0ovVMOfJf+OpN4Og==" saltValue="Y5HUXtyBbPVT+4dOf3fESA==" spinCount="100000" sqref="E6:E14 I11 I6:I8 M6:M8 M12:M13 I14" name="Plage1"/>
  </protectedRanges>
  <mergeCells count="15"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qref="M6" xr:uid="{6B8525FE-554A-4512-A738-59722ADA7848}">
      <formula1>designation_dynaique</formula1>
    </dataValidation>
  </dataValidations>
  <pageMargins left="0.7" right="0.7" top="0.75" bottom="0.75" header="0.3" footer="0.3"/>
  <pageSetup paperSize="9" scale="67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1" r:id="rId4" name="CommandButton4">
          <controlPr defaultSize="0" autoLine="0" r:id="rId5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4" name="CommandButton4"/>
      </mc:Fallback>
    </mc:AlternateContent>
    <mc:AlternateContent xmlns:mc="http://schemas.openxmlformats.org/markup-compatibility/2006">
      <mc:Choice Requires="x14">
        <control shapeId="20483" r:id="rId6" name="CommandButton2">
          <controlPr defaultSize="0" autoLine="0" r:id="rId7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9" r:id="rId10" name="CommandButton3">
          <controlPr defaultSize="0" autoLine="0" r:id="rId11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10" name="CommandButton3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R7" sqref="R7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J3"/>
  <sheetViews>
    <sheetView workbookViewId="0">
      <selection activeCell="R7" sqref="R7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7.140625" bestFit="1" customWidth="1"/>
  </cols>
  <sheetData>
    <row r="1" spans="2:10" ht="23.25">
      <c r="J1" s="170" t="s">
        <v>143</v>
      </c>
    </row>
    <row r="2" spans="2:10">
      <c r="B2" t="s">
        <v>73</v>
      </c>
      <c r="C2" t="s">
        <v>31</v>
      </c>
      <c r="D2" t="s">
        <v>39</v>
      </c>
      <c r="E2" t="s">
        <v>40</v>
      </c>
      <c r="F2" t="s">
        <v>41</v>
      </c>
      <c r="G2" t="s">
        <v>36</v>
      </c>
      <c r="H2" t="s">
        <v>37</v>
      </c>
      <c r="I2" t="s">
        <v>42</v>
      </c>
      <c r="J2" t="s">
        <v>77</v>
      </c>
    </row>
    <row r="3" spans="2:10" ht="13.5" customHeight="1">
      <c r="C3" s="118"/>
      <c r="F3" s="118"/>
      <c r="J3" s="117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3">
          <controlPr defaultSize="0" autoLine="0" r:id="rId5">
            <anchor>
              <from>
                <xdr:col>10</xdr:col>
                <xdr:colOff>323850</xdr:colOff>
                <xdr:row>4</xdr:row>
                <xdr:rowOff>171450</xdr:rowOff>
              </from>
              <to>
                <xdr:col>15</xdr:col>
                <xdr:colOff>542925</xdr:colOff>
                <xdr:row>8</xdr:row>
                <xdr:rowOff>9525</xdr:rowOff>
              </to>
            </anchor>
          </controlPr>
        </control>
      </mc:Choice>
      <mc:Fallback>
        <control shapeId="13318" r:id="rId4" name="CommandButton3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autoPict="0" r:id="rId7">
            <anchor>
              <from>
                <xdr:col>10</xdr:col>
                <xdr:colOff>333375</xdr:colOff>
                <xdr:row>0</xdr:row>
                <xdr:rowOff>47625</xdr:rowOff>
              </from>
              <to>
                <xdr:col>14</xdr:col>
                <xdr:colOff>9525</xdr:colOff>
                <xdr:row>3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R7" sqref="R7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201" t="s">
        <v>126</v>
      </c>
      <c r="C2" s="201"/>
      <c r="D2" s="201"/>
      <c r="E2" s="201"/>
      <c r="F2" s="201"/>
      <c r="G2" s="201"/>
      <c r="H2" s="201"/>
      <c r="I2" s="201"/>
      <c r="J2" s="201"/>
      <c r="K2" s="201"/>
      <c r="L2" s="201" t="s">
        <v>47</v>
      </c>
      <c r="M2" s="201"/>
      <c r="N2" s="201"/>
      <c r="O2" s="161" t="s">
        <v>127</v>
      </c>
      <c r="P2" s="161" t="s">
        <v>128</v>
      </c>
    </row>
    <row r="3" spans="2:16">
      <c r="B3" s="116" t="s">
        <v>132</v>
      </c>
      <c r="C3" s="116" t="s">
        <v>48</v>
      </c>
      <c r="D3" s="116" t="s">
        <v>52</v>
      </c>
      <c r="E3" s="116" t="s">
        <v>56</v>
      </c>
      <c r="F3" s="116" t="s">
        <v>60</v>
      </c>
      <c r="G3" s="116" t="s">
        <v>63</v>
      </c>
      <c r="H3" s="116" t="s">
        <v>58</v>
      </c>
      <c r="I3" s="116" t="s">
        <v>54</v>
      </c>
      <c r="J3" s="116" t="s">
        <v>67</v>
      </c>
      <c r="K3" s="116" t="s">
        <v>69</v>
      </c>
      <c r="L3" s="162" t="s">
        <v>50</v>
      </c>
      <c r="M3" s="116" t="s">
        <v>129</v>
      </c>
      <c r="N3" s="116" t="s">
        <v>130</v>
      </c>
      <c r="O3" s="116" t="s">
        <v>64</v>
      </c>
      <c r="P3" s="116" t="s">
        <v>131</v>
      </c>
    </row>
    <row r="4" spans="2:16"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62"/>
      <c r="M4" s="116"/>
      <c r="N4" s="116"/>
      <c r="O4" s="116"/>
      <c r="P4" s="116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rgb="FFFF0000"/>
  </sheetPr>
  <dimension ref="B1:F2"/>
  <sheetViews>
    <sheetView workbookViewId="0">
      <selection activeCell="R7" sqref="R7"/>
    </sheetView>
  </sheetViews>
  <sheetFormatPr baseColWidth="10" defaultRowHeight="15"/>
  <cols>
    <col min="1" max="1" width="2.42578125" customWidth="1"/>
    <col min="2" max="2" width="9.7109375" bestFit="1" customWidth="1"/>
    <col min="3" max="3" width="116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202" t="s">
        <v>118</v>
      </c>
      <c r="E1" s="202"/>
      <c r="F1" s="202"/>
    </row>
    <row r="2" spans="2:6">
      <c r="B2" t="s">
        <v>2</v>
      </c>
      <c r="C2" t="s">
        <v>114</v>
      </c>
      <c r="D2" t="s">
        <v>115</v>
      </c>
      <c r="E2" t="s">
        <v>116</v>
      </c>
      <c r="F2" t="s">
        <v>117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634D1-CDDF-4086-A9B8-049D6F687495}">
  <sheetPr codeName="Feuil13">
    <tabColor rgb="FFFF0000"/>
  </sheetPr>
  <dimension ref="B1:S3"/>
  <sheetViews>
    <sheetView workbookViewId="0">
      <selection activeCell="R7" sqref="R7"/>
    </sheetView>
  </sheetViews>
  <sheetFormatPr baseColWidth="10" defaultRowHeight="15"/>
  <cols>
    <col min="1" max="1" width="3.140625" customWidth="1"/>
    <col min="2" max="2" width="19.710937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7" bestFit="1" customWidth="1"/>
    <col min="12" max="12" width="11.42578125" style="167"/>
    <col min="13" max="13" width="4.7109375" customWidth="1"/>
  </cols>
  <sheetData>
    <row r="1" spans="2:19" ht="42.75" customHeight="1" thickBot="1">
      <c r="K1" s="164" t="s">
        <v>139</v>
      </c>
      <c r="L1" s="165"/>
      <c r="N1" s="203" t="s">
        <v>140</v>
      </c>
      <c r="O1" s="204"/>
      <c r="P1" s="205"/>
      <c r="Q1" s="205"/>
      <c r="R1" s="205"/>
      <c r="S1" s="206"/>
    </row>
    <row r="2" spans="2:19">
      <c r="B2" t="s">
        <v>73</v>
      </c>
      <c r="C2" t="s">
        <v>31</v>
      </c>
      <c r="D2" t="s">
        <v>39</v>
      </c>
      <c r="E2" t="s">
        <v>40</v>
      </c>
      <c r="F2" t="s">
        <v>41</v>
      </c>
      <c r="G2" t="s">
        <v>36</v>
      </c>
      <c r="H2" t="s">
        <v>37</v>
      </c>
      <c r="I2" t="s">
        <v>42</v>
      </c>
      <c r="J2" t="s">
        <v>77</v>
      </c>
      <c r="K2" s="166" t="s">
        <v>141</v>
      </c>
      <c r="L2" s="166" t="s">
        <v>142</v>
      </c>
    </row>
    <row r="3" spans="2:19" ht="13.5" customHeight="1">
      <c r="C3" s="118"/>
      <c r="D3" s="169"/>
      <c r="F3" s="118"/>
      <c r="J3" s="117"/>
      <c r="K3" s="168"/>
      <c r="L3" s="168"/>
    </row>
  </sheetData>
  <mergeCells count="2">
    <mergeCell ref="N1:O1"/>
    <mergeCell ref="P1:S1"/>
  </mergeCells>
  <dataValidations count="1">
    <dataValidation type="list" allowBlank="1" showInputMessage="1" showErrorMessage="1" sqref="J3" xr:uid="{D8136D1C-847F-4F8E-A3D0-615FA666285B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6" r:id="rId4" name="CommandButton2">
          <controlPr defaultSize="0" autoLine="0" r:id="rId5">
            <anchor>
              <from>
                <xdr:col>15</xdr:col>
                <xdr:colOff>571500</xdr:colOff>
                <xdr:row>1</xdr:row>
                <xdr:rowOff>85725</xdr:rowOff>
              </from>
              <to>
                <xdr:col>17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41986" r:id="rId4" name="CommandButton2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FF0000"/>
    <pageSetUpPr fitToPage="1"/>
  </sheetPr>
  <dimension ref="C1:P17"/>
  <sheetViews>
    <sheetView workbookViewId="0">
      <selection activeCell="R7" sqref="R7"/>
    </sheetView>
  </sheetViews>
  <sheetFormatPr baseColWidth="10" defaultRowHeight="15"/>
  <cols>
    <col min="1" max="1" width="2.7109375" customWidth="1"/>
    <col min="2" max="2" width="1.7109375" customWidth="1"/>
    <col min="3" max="3" width="14.7109375" style="34" bestFit="1" customWidth="1"/>
    <col min="4" max="4" width="36.28515625" style="34" customWidth="1"/>
    <col min="5" max="5" width="7.7109375" style="34" customWidth="1"/>
    <col min="6" max="7" width="8.85546875" style="34" customWidth="1"/>
    <col min="8" max="8" width="12.5703125" style="34" customWidth="1"/>
    <col min="9" max="9" width="8.42578125" style="34" customWidth="1"/>
    <col min="10" max="10" width="59.28515625" style="34" bestFit="1" customWidth="1"/>
    <col min="11" max="11" width="17.5703125" style="34" customWidth="1"/>
    <col min="12" max="12" width="11.42578125" customWidth="1"/>
  </cols>
  <sheetData>
    <row r="1" spans="3:16" ht="29.25" customHeight="1">
      <c r="C1" s="188" t="s">
        <v>43</v>
      </c>
      <c r="D1" s="189"/>
      <c r="E1" s="189"/>
      <c r="F1" s="189"/>
      <c r="G1" s="189"/>
      <c r="H1" s="189"/>
      <c r="I1" s="189"/>
      <c r="J1" s="189"/>
      <c r="K1" s="190"/>
    </row>
    <row r="2" spans="3:16" ht="15.75" customHeight="1">
      <c r="C2" s="191"/>
      <c r="D2" s="192"/>
      <c r="E2" s="192"/>
      <c r="F2" s="192"/>
      <c r="G2" s="192"/>
      <c r="H2" s="192"/>
      <c r="I2" s="192"/>
      <c r="J2" s="192"/>
      <c r="K2" s="193"/>
      <c r="N2" s="210" t="s">
        <v>133</v>
      </c>
      <c r="O2" s="210"/>
      <c r="P2" s="210"/>
    </row>
    <row r="3" spans="3:16" ht="20.25">
      <c r="C3" s="198" t="s">
        <v>120</v>
      </c>
      <c r="D3" s="199"/>
      <c r="E3" s="199"/>
      <c r="F3" s="199"/>
      <c r="G3" s="199"/>
      <c r="H3" s="199"/>
      <c r="I3" s="199"/>
      <c r="J3" s="199"/>
      <c r="K3" s="200"/>
      <c r="N3" s="210"/>
      <c r="O3" s="210"/>
      <c r="P3" s="210"/>
    </row>
    <row r="4" spans="3:16" ht="15" customHeight="1">
      <c r="C4" s="194" t="s">
        <v>46</v>
      </c>
      <c r="D4" s="195"/>
      <c r="E4" s="196" t="s">
        <v>47</v>
      </c>
      <c r="F4" s="196"/>
      <c r="G4" s="196"/>
      <c r="H4" s="196"/>
      <c r="I4" s="196"/>
      <c r="J4" s="196"/>
      <c r="K4" s="197"/>
    </row>
    <row r="5" spans="3:16" ht="15" customHeight="1">
      <c r="C5" s="147" t="s">
        <v>48</v>
      </c>
      <c r="D5" s="120" t="s">
        <v>119</v>
      </c>
      <c r="E5" s="178" t="s">
        <v>50</v>
      </c>
      <c r="F5" s="178"/>
      <c r="G5" s="178"/>
      <c r="H5" s="178"/>
      <c r="I5" s="207" t="s">
        <v>119</v>
      </c>
      <c r="J5" s="208"/>
      <c r="K5" s="209"/>
    </row>
    <row r="6" spans="3:16">
      <c r="C6" s="147" t="s">
        <v>52</v>
      </c>
      <c r="D6" s="120" t="s">
        <v>119</v>
      </c>
      <c r="E6" s="211" t="s">
        <v>54</v>
      </c>
      <c r="F6" s="211"/>
      <c r="G6" s="211"/>
      <c r="H6" s="211"/>
      <c r="I6" s="207" t="s">
        <v>119</v>
      </c>
      <c r="J6" s="208"/>
      <c r="K6" s="209"/>
    </row>
    <row r="7" spans="3:16" ht="15" customHeight="1">
      <c r="C7" s="147" t="s">
        <v>56</v>
      </c>
      <c r="D7" s="120" t="s">
        <v>119</v>
      </c>
      <c r="E7" s="211" t="s">
        <v>135</v>
      </c>
      <c r="F7" s="211"/>
      <c r="G7" s="211"/>
      <c r="H7" s="211"/>
      <c r="I7" s="207" t="s">
        <v>119</v>
      </c>
      <c r="J7" s="208"/>
      <c r="K7" s="209"/>
    </row>
    <row r="8" spans="3:16" ht="15" customHeight="1">
      <c r="C8" s="147" t="s">
        <v>60</v>
      </c>
      <c r="D8" s="120" t="s">
        <v>119</v>
      </c>
      <c r="E8" s="211" t="s">
        <v>62</v>
      </c>
      <c r="F8" s="211"/>
      <c r="G8" s="211"/>
      <c r="H8" s="211"/>
      <c r="I8" s="211"/>
      <c r="J8" s="211"/>
      <c r="K8" s="212"/>
    </row>
    <row r="9" spans="3:16">
      <c r="C9" s="147" t="s">
        <v>63</v>
      </c>
      <c r="D9" s="120" t="s">
        <v>119</v>
      </c>
      <c r="E9" s="211"/>
      <c r="F9" s="211"/>
      <c r="G9" s="211"/>
      <c r="H9" s="211"/>
      <c r="I9" s="211"/>
      <c r="J9" s="211"/>
      <c r="K9" s="212"/>
    </row>
    <row r="10" spans="3:16" ht="15" customHeight="1">
      <c r="C10" s="147" t="s">
        <v>58</v>
      </c>
      <c r="D10" s="120" t="s">
        <v>119</v>
      </c>
      <c r="E10" s="211" t="s">
        <v>64</v>
      </c>
      <c r="F10" s="211"/>
      <c r="G10" s="211"/>
      <c r="H10" s="211"/>
      <c r="I10" s="207" t="s">
        <v>119</v>
      </c>
      <c r="J10" s="208"/>
      <c r="K10" s="209"/>
    </row>
    <row r="11" spans="3:16" ht="15" customHeight="1">
      <c r="C11" s="147" t="s">
        <v>54</v>
      </c>
      <c r="D11" s="120" t="s">
        <v>119</v>
      </c>
      <c r="E11" s="178" t="s">
        <v>136</v>
      </c>
      <c r="F11" s="178"/>
      <c r="G11" s="178"/>
      <c r="H11" s="178"/>
      <c r="I11" s="178"/>
      <c r="J11" s="178"/>
      <c r="K11" s="187"/>
    </row>
    <row r="12" spans="3:16">
      <c r="C12" s="147" t="s">
        <v>67</v>
      </c>
      <c r="D12" s="120" t="s">
        <v>119</v>
      </c>
      <c r="E12" s="178"/>
      <c r="F12" s="178"/>
      <c r="G12" s="178"/>
      <c r="H12" s="178"/>
      <c r="I12" s="178"/>
      <c r="J12" s="178"/>
      <c r="K12" s="187"/>
    </row>
    <row r="13" spans="3:16" ht="15" customHeight="1">
      <c r="C13" s="147" t="s">
        <v>69</v>
      </c>
      <c r="D13" s="120" t="s">
        <v>119</v>
      </c>
      <c r="E13" s="178" t="s">
        <v>64</v>
      </c>
      <c r="F13" s="178"/>
      <c r="G13" s="178"/>
      <c r="H13" s="178"/>
      <c r="I13" s="207" t="s">
        <v>119</v>
      </c>
      <c r="J13" s="208"/>
      <c r="K13" s="209"/>
    </row>
    <row r="14" spans="3:16" ht="15" customHeight="1">
      <c r="C14" s="179"/>
      <c r="D14" s="180"/>
      <c r="E14" s="181" t="s">
        <v>119</v>
      </c>
      <c r="F14" s="181"/>
      <c r="G14" s="181"/>
      <c r="H14" s="181"/>
      <c r="I14" s="181"/>
      <c r="J14" s="181"/>
      <c r="K14" s="182"/>
    </row>
    <row r="15" spans="3:16" ht="21.75" customHeight="1">
      <c r="C15" s="21" t="s">
        <v>31</v>
      </c>
      <c r="D15" s="148" t="s">
        <v>74</v>
      </c>
      <c r="E15" s="150" t="s">
        <v>41</v>
      </c>
      <c r="F15" s="150" t="s">
        <v>36</v>
      </c>
      <c r="G15" s="150" t="s">
        <v>75</v>
      </c>
      <c r="H15" s="148" t="s">
        <v>37</v>
      </c>
      <c r="I15" s="150" t="s">
        <v>77</v>
      </c>
      <c r="J15" s="148" t="s">
        <v>78</v>
      </c>
      <c r="K15" s="24" t="s">
        <v>79</v>
      </c>
    </row>
    <row r="16" spans="3:16">
      <c r="C16" s="158"/>
      <c r="D16" s="149"/>
      <c r="E16" s="151"/>
      <c r="F16" s="151"/>
      <c r="G16" s="163"/>
      <c r="H16" s="149"/>
      <c r="I16" s="151"/>
      <c r="J16" s="149"/>
      <c r="K16" s="157"/>
    </row>
    <row r="17" spans="3:11" ht="15.75" thickBot="1">
      <c r="C17" s="159"/>
      <c r="D17" s="152"/>
      <c r="E17" s="153"/>
      <c r="F17" s="154"/>
      <c r="G17" s="154"/>
      <c r="H17" s="154"/>
      <c r="I17" s="154"/>
      <c r="J17" s="155" t="s">
        <v>88</v>
      </c>
      <c r="K17" s="156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2:K2"/>
    <mergeCell ref="C1:K1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5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5845" r:id="rId4" name="CommandButton3">
          <controlPr defaultSize="0" autoLine="0" r:id="rId5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4" name="CommandButton3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6" r:id="rId8" name="CommandButton4">
          <controlPr defaultSize="0" autoLine="0" r:id="rId9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8" name="CommandButton4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rgb="FFFF0000"/>
  </sheetPr>
  <dimension ref="B2:M3"/>
  <sheetViews>
    <sheetView workbookViewId="0">
      <selection activeCell="D36" sqref="D36"/>
    </sheetView>
  </sheetViews>
  <sheetFormatPr baseColWidth="10" defaultRowHeight="15" customHeight="1"/>
  <cols>
    <col min="2" max="2" width="11.42578125" style="9"/>
    <col min="3" max="3" width="11.42578125" style="173" hidden="1" customWidth="1"/>
    <col min="4" max="4" width="108.85546875" bestFit="1" customWidth="1"/>
    <col min="6" max="6" width="11.42578125" hidden="1" customWidth="1"/>
    <col min="8" max="8" width="11.42578125" hidden="1" customWidth="1"/>
    <col min="9" max="9" width="13.42578125" hidden="1" customWidth="1"/>
    <col min="11" max="11" width="16.5703125" bestFit="1" customWidth="1"/>
    <col min="12" max="12" width="11.42578125" hidden="1" customWidth="1"/>
    <col min="13" max="13" width="11.42578125" style="167"/>
  </cols>
  <sheetData>
    <row r="2" spans="2:13" ht="15" customHeight="1">
      <c r="B2" s="9" t="s">
        <v>31</v>
      </c>
      <c r="C2" s="173" t="s">
        <v>74</v>
      </c>
      <c r="D2" t="s">
        <v>32</v>
      </c>
      <c r="E2" t="s">
        <v>33</v>
      </c>
      <c r="F2" t="s">
        <v>76</v>
      </c>
      <c r="G2" t="s">
        <v>34</v>
      </c>
      <c r="H2" t="s">
        <v>36</v>
      </c>
      <c r="I2" t="s">
        <v>37</v>
      </c>
      <c r="J2" t="s">
        <v>35</v>
      </c>
      <c r="K2" t="s">
        <v>38</v>
      </c>
      <c r="L2" t="s">
        <v>113</v>
      </c>
      <c r="M2" s="167" t="s">
        <v>144</v>
      </c>
    </row>
    <row r="3" spans="2:13" ht="15" customHeight="1">
      <c r="C3" s="172"/>
      <c r="J3" s="9"/>
      <c r="K3" s="9"/>
      <c r="L3" s="9"/>
      <c r="M3" s="171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13</xdr:col>
                <xdr:colOff>295275</xdr:colOff>
                <xdr:row>9</xdr:row>
                <xdr:rowOff>142875</xdr:rowOff>
              </from>
              <to>
                <xdr:col>16</xdr:col>
                <xdr:colOff>285750</xdr:colOff>
                <xdr:row>14</xdr:row>
                <xdr:rowOff>180975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13</xdr:col>
                <xdr:colOff>276225</xdr:colOff>
                <xdr:row>2</xdr:row>
                <xdr:rowOff>123825</xdr:rowOff>
              </from>
              <to>
                <xdr:col>16</xdr:col>
                <xdr:colOff>247650</xdr:colOff>
                <xdr:row>7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S18" sqref="S18"/>
    </sheetView>
  </sheetViews>
  <sheetFormatPr baseColWidth="10" defaultRowHeight="15"/>
  <cols>
    <col min="1" max="1" width="12.5703125" style="34" bestFit="1" customWidth="1"/>
    <col min="2" max="2" width="0.7109375" style="34" customWidth="1"/>
    <col min="3" max="3" width="14.7109375" style="34" bestFit="1" customWidth="1"/>
    <col min="4" max="4" width="36.28515625" style="34" customWidth="1"/>
    <col min="5" max="5" width="6.140625" style="34" bestFit="1" customWidth="1"/>
    <col min="6" max="6" width="6.85546875" style="34" bestFit="1" customWidth="1"/>
    <col min="7" max="7" width="10" style="34" bestFit="1" customWidth="1"/>
    <col min="8" max="8" width="6.85546875" style="34" customWidth="1"/>
    <col min="9" max="9" width="59.28515625" style="34" bestFit="1" customWidth="1"/>
    <col min="10" max="10" width="15.28515625" style="34" customWidth="1"/>
  </cols>
  <sheetData>
    <row r="1" spans="1:10" ht="29.25">
      <c r="A1" s="188" t="s">
        <v>43</v>
      </c>
      <c r="B1" s="189"/>
      <c r="C1" s="189"/>
      <c r="D1" s="189"/>
      <c r="E1" s="189"/>
      <c r="F1" s="189"/>
      <c r="G1" s="189"/>
      <c r="H1" s="189"/>
      <c r="I1" s="189"/>
      <c r="J1" s="190"/>
    </row>
    <row r="2" spans="1:10" ht="15.75">
      <c r="A2" s="191" t="s">
        <v>44</v>
      </c>
      <c r="B2" s="221"/>
      <c r="C2" s="221"/>
      <c r="D2" s="221"/>
      <c r="E2" s="221"/>
      <c r="F2" s="221"/>
      <c r="G2" s="221"/>
      <c r="H2" s="221"/>
      <c r="I2" s="221"/>
      <c r="J2" s="14"/>
    </row>
    <row r="3" spans="1:10" ht="20.25">
      <c r="A3" s="15"/>
      <c r="B3" s="16"/>
      <c r="C3" s="16"/>
      <c r="D3" s="16"/>
      <c r="E3" s="222" t="s">
        <v>45</v>
      </c>
      <c r="F3" s="222"/>
      <c r="G3" s="222"/>
      <c r="H3" s="222"/>
      <c r="I3" s="222"/>
      <c r="J3" s="223"/>
    </row>
    <row r="4" spans="1:10">
      <c r="A4" s="194" t="s">
        <v>46</v>
      </c>
      <c r="B4" s="224"/>
      <c r="C4" s="224"/>
      <c r="D4" s="224"/>
      <c r="E4" s="225" t="s">
        <v>47</v>
      </c>
      <c r="F4" s="225"/>
      <c r="G4" s="225"/>
      <c r="H4" s="225"/>
      <c r="I4" s="225"/>
      <c r="J4" s="197"/>
    </row>
    <row r="5" spans="1:10">
      <c r="A5" s="17" t="s">
        <v>48</v>
      </c>
      <c r="B5" s="18"/>
      <c r="C5" s="19"/>
      <c r="D5" s="20" t="s">
        <v>49</v>
      </c>
      <c r="E5" s="218" t="s">
        <v>50</v>
      </c>
      <c r="F5" s="218"/>
      <c r="G5" s="218"/>
      <c r="H5" s="216" t="s">
        <v>51</v>
      </c>
      <c r="I5" s="216"/>
      <c r="J5" s="217"/>
    </row>
    <row r="6" spans="1:10">
      <c r="A6" s="17" t="s">
        <v>52</v>
      </c>
      <c r="B6" s="18"/>
      <c r="C6" s="19"/>
      <c r="D6" s="20" t="s">
        <v>53</v>
      </c>
      <c r="E6" s="215" t="s">
        <v>54</v>
      </c>
      <c r="F6" s="215"/>
      <c r="G6" s="215"/>
      <c r="H6" s="216" t="s">
        <v>55</v>
      </c>
      <c r="I6" s="216"/>
      <c r="J6" s="217"/>
    </row>
    <row r="7" spans="1:10">
      <c r="A7" s="17" t="s">
        <v>56</v>
      </c>
      <c r="B7" s="18"/>
      <c r="C7" s="19"/>
      <c r="D7" s="20" t="s">
        <v>57</v>
      </c>
      <c r="E7" s="215" t="s">
        <v>58</v>
      </c>
      <c r="F7" s="215"/>
      <c r="G7" s="215"/>
      <c r="H7" s="216" t="s">
        <v>59</v>
      </c>
      <c r="I7" s="216"/>
      <c r="J7" s="217"/>
    </row>
    <row r="8" spans="1:10">
      <c r="A8" s="17" t="s">
        <v>60</v>
      </c>
      <c r="B8" s="18"/>
      <c r="C8" s="19"/>
      <c r="D8" s="20" t="s">
        <v>61</v>
      </c>
      <c r="E8" s="215" t="s">
        <v>62</v>
      </c>
      <c r="F8" s="215"/>
      <c r="G8" s="215"/>
      <c r="H8" s="215"/>
      <c r="I8" s="215"/>
      <c r="J8" s="212"/>
    </row>
    <row r="9" spans="1:10">
      <c r="A9" s="17" t="s">
        <v>63</v>
      </c>
      <c r="B9" s="18"/>
      <c r="C9" s="19"/>
      <c r="D9" s="20"/>
      <c r="E9" s="215"/>
      <c r="F9" s="215"/>
      <c r="G9" s="215"/>
      <c r="H9" s="215"/>
      <c r="I9" s="215"/>
      <c r="J9" s="212"/>
    </row>
    <row r="10" spans="1:10">
      <c r="A10" s="17" t="s">
        <v>58</v>
      </c>
      <c r="B10" s="18"/>
      <c r="C10" s="19"/>
      <c r="D10" s="20" t="s">
        <v>59</v>
      </c>
      <c r="E10" s="215" t="s">
        <v>64</v>
      </c>
      <c r="F10" s="215"/>
      <c r="G10" s="215"/>
      <c r="H10" s="216" t="s">
        <v>65</v>
      </c>
      <c r="I10" s="216"/>
      <c r="J10" s="217"/>
    </row>
    <row r="11" spans="1:10">
      <c r="A11" s="17" t="s">
        <v>54</v>
      </c>
      <c r="B11" s="18"/>
      <c r="C11" s="19"/>
      <c r="D11" s="20" t="s">
        <v>55</v>
      </c>
      <c r="E11" s="218" t="s">
        <v>66</v>
      </c>
      <c r="F11" s="218"/>
      <c r="G11" s="218"/>
      <c r="H11" s="218"/>
      <c r="I11" s="218"/>
      <c r="J11" s="187"/>
    </row>
    <row r="12" spans="1:10">
      <c r="A12" s="17" t="s">
        <v>67</v>
      </c>
      <c r="B12" s="18"/>
      <c r="C12" s="19"/>
      <c r="D12" s="20" t="s">
        <v>68</v>
      </c>
      <c r="E12" s="218"/>
      <c r="F12" s="218"/>
      <c r="G12" s="218"/>
      <c r="H12" s="218"/>
      <c r="I12" s="218"/>
      <c r="J12" s="187"/>
    </row>
    <row r="13" spans="1:10">
      <c r="A13" s="17" t="s">
        <v>69</v>
      </c>
      <c r="B13" s="18"/>
      <c r="C13" s="19"/>
      <c r="D13" s="20"/>
      <c r="E13" s="218" t="s">
        <v>64</v>
      </c>
      <c r="F13" s="218"/>
      <c r="G13" s="218"/>
      <c r="H13" s="216" t="s">
        <v>70</v>
      </c>
      <c r="I13" s="216"/>
      <c r="J13" s="217"/>
    </row>
    <row r="14" spans="1:10">
      <c r="A14" s="179" t="s">
        <v>71</v>
      </c>
      <c r="B14" s="219"/>
      <c r="C14" s="219"/>
      <c r="D14" s="219"/>
      <c r="E14" s="220" t="s">
        <v>72</v>
      </c>
      <c r="F14" s="220"/>
      <c r="G14" s="220"/>
      <c r="H14" s="220"/>
      <c r="I14" s="220"/>
      <c r="J14" s="182"/>
    </row>
    <row r="15" spans="1:10" ht="30">
      <c r="A15" s="21" t="s">
        <v>73</v>
      </c>
      <c r="B15" s="22"/>
      <c r="C15" s="23" t="s">
        <v>31</v>
      </c>
      <c r="D15" s="23" t="s">
        <v>74</v>
      </c>
      <c r="E15" s="22" t="s">
        <v>75</v>
      </c>
      <c r="F15" s="22" t="s">
        <v>76</v>
      </c>
      <c r="G15" s="23" t="s">
        <v>37</v>
      </c>
      <c r="H15" s="22" t="s">
        <v>77</v>
      </c>
      <c r="I15" s="23" t="s">
        <v>78</v>
      </c>
      <c r="J15" s="24" t="s">
        <v>79</v>
      </c>
    </row>
    <row r="16" spans="1:10">
      <c r="A16" s="25" t="s">
        <v>80</v>
      </c>
      <c r="B16" s="26"/>
      <c r="C16" s="26"/>
      <c r="D16" s="26" t="s">
        <v>81</v>
      </c>
      <c r="E16" s="27"/>
      <c r="F16" s="28" t="s">
        <v>82</v>
      </c>
      <c r="G16" s="27" t="s">
        <v>22</v>
      </c>
      <c r="H16" s="27" t="s">
        <v>83</v>
      </c>
      <c r="I16" s="27"/>
      <c r="J16" s="29"/>
    </row>
    <row r="17" spans="1:10">
      <c r="A17" s="213" t="s">
        <v>84</v>
      </c>
      <c r="B17" s="214"/>
      <c r="C17" s="214"/>
      <c r="D17" s="214"/>
      <c r="E17" s="214"/>
      <c r="F17" s="28" t="s">
        <v>82</v>
      </c>
      <c r="G17" s="27" t="s">
        <v>21</v>
      </c>
      <c r="H17" s="30">
        <v>0.5</v>
      </c>
      <c r="I17" s="27"/>
      <c r="J17" s="29"/>
    </row>
    <row r="18" spans="1:10" ht="15.75">
      <c r="A18" s="31" t="s">
        <v>85</v>
      </c>
      <c r="B18" s="32"/>
      <c r="C18" s="33"/>
      <c r="E18" s="35"/>
      <c r="F18" s="36"/>
      <c r="G18" s="36"/>
      <c r="H18" s="36"/>
      <c r="I18" s="37"/>
      <c r="J18" s="38"/>
    </row>
    <row r="19" spans="1:10">
      <c r="A19" s="39"/>
      <c r="B19" s="40"/>
      <c r="C19" s="41"/>
      <c r="D19" s="41"/>
      <c r="E19" s="42"/>
      <c r="F19" s="43"/>
      <c r="G19" s="43"/>
      <c r="H19" s="43"/>
      <c r="I19" s="44"/>
      <c r="J19" s="45"/>
    </row>
    <row r="20" spans="1:10">
      <c r="A20" s="39"/>
      <c r="B20" s="40"/>
      <c r="C20" s="41"/>
      <c r="D20" s="41"/>
      <c r="E20" s="42"/>
      <c r="F20" s="43"/>
      <c r="G20" s="43"/>
      <c r="H20" s="43"/>
      <c r="I20" s="44"/>
      <c r="J20" s="45"/>
    </row>
    <row r="21" spans="1:10">
      <c r="A21" s="39"/>
      <c r="B21" s="40"/>
      <c r="C21" s="41"/>
      <c r="D21" s="41"/>
      <c r="E21" s="42"/>
      <c r="F21" s="43"/>
      <c r="G21" s="46"/>
      <c r="H21" s="43"/>
      <c r="I21" s="44"/>
      <c r="J21" s="45"/>
    </row>
    <row r="22" spans="1:10">
      <c r="A22" s="39"/>
      <c r="B22" s="40"/>
      <c r="C22" s="41"/>
      <c r="D22" s="41"/>
      <c r="E22" s="42"/>
      <c r="F22" s="43"/>
      <c r="G22" s="43"/>
      <c r="H22" s="43"/>
      <c r="I22" s="44"/>
      <c r="J22" s="45"/>
    </row>
    <row r="23" spans="1:10">
      <c r="A23" s="39"/>
      <c r="B23" s="40"/>
      <c r="C23" s="41"/>
      <c r="D23" s="41"/>
      <c r="E23" s="43"/>
      <c r="F23" s="43"/>
      <c r="G23" s="43"/>
      <c r="H23" s="43"/>
      <c r="I23" s="41"/>
      <c r="J23" s="47"/>
    </row>
    <row r="24" spans="1:10">
      <c r="A24" s="39"/>
      <c r="B24" s="40"/>
      <c r="C24" s="48"/>
      <c r="D24" s="40"/>
      <c r="E24" s="49"/>
      <c r="F24" s="50"/>
      <c r="G24" s="50"/>
      <c r="H24" s="50"/>
      <c r="I24" s="51" t="s">
        <v>88</v>
      </c>
      <c r="J24" s="52">
        <f>SUM(J19:J23)</f>
        <v>0</v>
      </c>
    </row>
    <row r="25" spans="1:10">
      <c r="A25" s="53"/>
      <c r="B25" s="54"/>
      <c r="C25" s="55"/>
      <c r="D25" s="56"/>
      <c r="E25" s="35"/>
      <c r="F25" s="36"/>
      <c r="G25" s="36"/>
      <c r="H25" s="36"/>
      <c r="I25" s="37"/>
      <c r="J25" s="57"/>
    </row>
    <row r="26" spans="1:10">
      <c r="A26" s="58" t="s">
        <v>89</v>
      </c>
      <c r="B26" s="59"/>
      <c r="C26" s="55"/>
      <c r="E26" s="35"/>
      <c r="F26" s="36"/>
      <c r="G26" s="36"/>
      <c r="H26" s="36"/>
      <c r="I26" s="37"/>
      <c r="J26" s="57"/>
    </row>
    <row r="27" spans="1:10">
      <c r="A27" s="60"/>
      <c r="B27" s="59"/>
      <c r="C27" s="61">
        <v>1548</v>
      </c>
      <c r="D27" s="62" t="s">
        <v>90</v>
      </c>
      <c r="E27" s="63"/>
      <c r="F27" s="64">
        <v>1</v>
      </c>
      <c r="G27" s="64" t="s">
        <v>22</v>
      </c>
      <c r="H27" s="64" t="s">
        <v>83</v>
      </c>
      <c r="I27" s="65" t="s">
        <v>91</v>
      </c>
      <c r="J27" s="66">
        <f>E27*F27</f>
        <v>0</v>
      </c>
    </row>
    <row r="28" spans="1:10">
      <c r="A28" s="60"/>
      <c r="B28" s="59"/>
      <c r="C28" s="41">
        <v>1496</v>
      </c>
      <c r="D28" s="67" t="s">
        <v>92</v>
      </c>
      <c r="E28" s="42">
        <v>20.56</v>
      </c>
      <c r="F28" s="43">
        <v>1</v>
      </c>
      <c r="G28" s="43" t="s">
        <v>22</v>
      </c>
      <c r="H28" s="43" t="s">
        <v>83</v>
      </c>
      <c r="I28" s="44"/>
      <c r="J28" s="45">
        <f>E28*F28</f>
        <v>20.56</v>
      </c>
    </row>
    <row r="29" spans="1:10" ht="57">
      <c r="A29" s="60"/>
      <c r="B29" s="59"/>
      <c r="C29" s="41" t="s">
        <v>93</v>
      </c>
      <c r="D29" s="41" t="s">
        <v>94</v>
      </c>
      <c r="E29" s="43">
        <v>21.5</v>
      </c>
      <c r="F29" s="43">
        <v>0.76</v>
      </c>
      <c r="G29" s="43"/>
      <c r="H29" s="43" t="s">
        <v>83</v>
      </c>
      <c r="I29" s="41" t="s">
        <v>95</v>
      </c>
      <c r="J29" s="47">
        <f>59.34-(21.5*2)</f>
        <v>16.340000000000003</v>
      </c>
    </row>
    <row r="30" spans="1:10">
      <c r="A30" s="60"/>
      <c r="B30" s="59"/>
      <c r="C30" s="68"/>
      <c r="D30" s="68"/>
      <c r="E30" s="69"/>
      <c r="F30" s="70"/>
      <c r="G30" s="70"/>
      <c r="H30" s="70"/>
      <c r="I30" s="71" t="s">
        <v>88</v>
      </c>
      <c r="J30" s="72">
        <f>SUM(J27:J29)</f>
        <v>36.900000000000006</v>
      </c>
    </row>
    <row r="31" spans="1:10">
      <c r="A31" s="73"/>
      <c r="B31" s="54"/>
      <c r="C31" s="55"/>
      <c r="D31" s="56"/>
      <c r="E31" s="35"/>
      <c r="F31" s="36"/>
      <c r="G31" s="36"/>
      <c r="H31" s="36"/>
      <c r="I31" s="37"/>
      <c r="J31" s="57"/>
    </row>
    <row r="32" spans="1:10" ht="15.75">
      <c r="A32" s="74" t="s">
        <v>96</v>
      </c>
      <c r="B32" s="75"/>
      <c r="C32" s="55"/>
      <c r="E32" s="35"/>
      <c r="F32" s="36"/>
      <c r="G32" s="36"/>
      <c r="H32" s="36"/>
      <c r="I32" s="37"/>
      <c r="J32" s="57"/>
    </row>
    <row r="33" spans="1:10">
      <c r="A33" s="60"/>
      <c r="B33" s="76"/>
      <c r="C33" s="41">
        <v>3218</v>
      </c>
      <c r="D33" s="67" t="s">
        <v>97</v>
      </c>
      <c r="E33" s="42">
        <v>6.43</v>
      </c>
      <c r="F33" s="43">
        <v>0.5</v>
      </c>
      <c r="G33" s="43" t="s">
        <v>22</v>
      </c>
      <c r="H33" s="43" t="s">
        <v>83</v>
      </c>
      <c r="I33" s="44"/>
      <c r="J33" s="45">
        <f>E33*F33</f>
        <v>3.2149999999999999</v>
      </c>
    </row>
    <row r="34" spans="1:10" ht="57">
      <c r="A34" s="60"/>
      <c r="B34" s="76"/>
      <c r="C34" s="41" t="s">
        <v>93</v>
      </c>
      <c r="D34" s="41" t="s">
        <v>94</v>
      </c>
      <c r="E34" s="43">
        <v>21.5</v>
      </c>
      <c r="F34" s="43">
        <v>0.76</v>
      </c>
      <c r="G34" s="43"/>
      <c r="H34" s="43" t="s">
        <v>83</v>
      </c>
      <c r="I34" s="41" t="s">
        <v>95</v>
      </c>
      <c r="J34" s="45">
        <f>E34*F34</f>
        <v>16.34</v>
      </c>
    </row>
    <row r="35" spans="1:10" ht="42.75">
      <c r="A35" s="60"/>
      <c r="B35" s="76"/>
      <c r="C35" s="41">
        <v>3122</v>
      </c>
      <c r="D35" s="41" t="s">
        <v>98</v>
      </c>
      <c r="E35" s="43">
        <v>5.25</v>
      </c>
      <c r="F35" s="43">
        <v>1</v>
      </c>
      <c r="G35" s="43"/>
      <c r="H35" s="77">
        <v>0.5</v>
      </c>
      <c r="I35" s="44" t="s">
        <v>99</v>
      </c>
      <c r="J35" s="45">
        <f>(E35*F35)/2</f>
        <v>2.625</v>
      </c>
    </row>
    <row r="36" spans="1:10" ht="42.75">
      <c r="A36" s="60"/>
      <c r="B36" s="76"/>
      <c r="C36" s="41">
        <v>3757</v>
      </c>
      <c r="D36" s="41" t="s">
        <v>100</v>
      </c>
      <c r="E36" s="78">
        <v>13.98</v>
      </c>
      <c r="F36" s="43">
        <v>1.6</v>
      </c>
      <c r="G36" s="43"/>
      <c r="H36" s="77">
        <v>0.5</v>
      </c>
      <c r="I36" s="44" t="s">
        <v>101</v>
      </c>
      <c r="J36" s="47">
        <f>(E36*F36)/2</f>
        <v>11.184000000000001</v>
      </c>
    </row>
    <row r="37" spans="1:10">
      <c r="A37" s="60"/>
      <c r="B37" s="76"/>
      <c r="C37" s="79"/>
      <c r="D37" s="79"/>
      <c r="E37" s="80"/>
      <c r="F37" s="81"/>
      <c r="G37" s="81"/>
      <c r="H37" s="81"/>
      <c r="I37" s="82" t="s">
        <v>88</v>
      </c>
      <c r="J37" s="83">
        <f>SUM(J33:J36)</f>
        <v>33.364000000000004</v>
      </c>
    </row>
    <row r="38" spans="1:10">
      <c r="A38" s="73"/>
      <c r="B38" s="54"/>
      <c r="C38" s="55"/>
      <c r="D38" s="56"/>
      <c r="E38" s="35"/>
      <c r="F38" s="36"/>
      <c r="G38" s="36"/>
      <c r="H38" s="36"/>
      <c r="I38" s="37"/>
      <c r="J38" s="57"/>
    </row>
    <row r="39" spans="1:10">
      <c r="A39" s="31" t="s">
        <v>102</v>
      </c>
      <c r="B39" s="84"/>
      <c r="C39" s="55"/>
      <c r="D39" s="85"/>
      <c r="E39" s="86"/>
      <c r="F39" s="87"/>
      <c r="G39" s="87"/>
      <c r="H39" s="87"/>
      <c r="I39" s="88"/>
      <c r="J39" s="89"/>
    </row>
    <row r="40" spans="1:10" ht="28.5">
      <c r="A40" s="60"/>
      <c r="B40" s="40"/>
      <c r="C40" s="41" t="s">
        <v>86</v>
      </c>
      <c r="D40" s="41" t="s">
        <v>87</v>
      </c>
      <c r="E40" s="43">
        <v>24.24</v>
      </c>
      <c r="F40" s="43">
        <v>0.9</v>
      </c>
      <c r="G40" s="43"/>
      <c r="H40" s="77" t="s">
        <v>83</v>
      </c>
      <c r="I40" s="41" t="s">
        <v>103</v>
      </c>
      <c r="J40" s="47">
        <f>26.42-24.24</f>
        <v>2.1800000000000033</v>
      </c>
    </row>
    <row r="41" spans="1:10">
      <c r="A41" s="60"/>
      <c r="B41" s="40"/>
      <c r="C41" s="48"/>
      <c r="D41" s="40"/>
      <c r="E41" s="40"/>
      <c r="F41" s="40"/>
      <c r="G41" s="40"/>
      <c r="H41" s="40"/>
      <c r="I41" s="90" t="s">
        <v>88</v>
      </c>
      <c r="J41" s="52">
        <f>SUM(J40:J40)</f>
        <v>2.1800000000000033</v>
      </c>
    </row>
    <row r="42" spans="1:10">
      <c r="A42" s="91"/>
      <c r="B42" s="56"/>
      <c r="C42" s="92"/>
      <c r="D42" s="56"/>
      <c r="E42" s="35"/>
      <c r="F42" s="35"/>
      <c r="G42" s="35"/>
      <c r="H42" s="35"/>
      <c r="I42" s="37"/>
      <c r="J42" s="93"/>
    </row>
    <row r="43" spans="1:10">
      <c r="A43" s="94" t="s">
        <v>104</v>
      </c>
      <c r="B43" s="95"/>
      <c r="C43" s="92"/>
      <c r="D43" s="85"/>
      <c r="E43" s="86"/>
      <c r="F43" s="86"/>
      <c r="G43" s="86"/>
      <c r="H43" s="86"/>
      <c r="I43" s="88"/>
      <c r="J43" s="96"/>
    </row>
    <row r="44" spans="1:10" ht="57">
      <c r="A44" s="60"/>
      <c r="B44" s="97"/>
      <c r="C44" s="41" t="s">
        <v>93</v>
      </c>
      <c r="D44" s="41" t="s">
        <v>105</v>
      </c>
      <c r="E44" s="43">
        <v>21.5</v>
      </c>
      <c r="F44" s="43">
        <v>0.38</v>
      </c>
      <c r="G44" s="42"/>
      <c r="H44" s="43" t="s">
        <v>83</v>
      </c>
      <c r="I44" s="41" t="s">
        <v>106</v>
      </c>
      <c r="J44" s="47">
        <f>E44*F44</f>
        <v>8.17</v>
      </c>
    </row>
    <row r="45" spans="1:10">
      <c r="A45" s="98"/>
      <c r="B45" s="99"/>
      <c r="C45" s="100"/>
      <c r="D45" s="99"/>
      <c r="E45" s="101"/>
      <c r="F45" s="101"/>
      <c r="G45" s="101"/>
      <c r="H45" s="101"/>
      <c r="I45" s="102" t="s">
        <v>88</v>
      </c>
      <c r="J45" s="103">
        <f>SUM(J44:J44)</f>
        <v>8.17</v>
      </c>
    </row>
    <row r="46" spans="1:10">
      <c r="A46" s="98"/>
      <c r="B46" s="104"/>
      <c r="C46" s="92"/>
      <c r="D46" s="104"/>
      <c r="E46" s="86"/>
      <c r="F46" s="86"/>
      <c r="G46" s="86"/>
      <c r="H46" s="86"/>
      <c r="I46" s="88"/>
      <c r="J46" s="105"/>
    </row>
    <row r="47" spans="1:10">
      <c r="A47" s="98"/>
      <c r="B47" s="104"/>
      <c r="C47" s="104"/>
      <c r="D47" s="104"/>
      <c r="E47" s="86"/>
      <c r="F47" s="86"/>
      <c r="G47" s="86"/>
      <c r="H47" s="86"/>
      <c r="I47" s="88"/>
      <c r="J47" s="105"/>
    </row>
    <row r="48" spans="1:10" ht="15.75">
      <c r="A48" s="106"/>
      <c r="B48" s="107"/>
      <c r="C48" s="107"/>
      <c r="D48" s="107"/>
      <c r="E48" s="108"/>
      <c r="F48" s="108"/>
      <c r="G48" s="108"/>
      <c r="H48" s="108"/>
      <c r="I48" s="109" t="s">
        <v>107</v>
      </c>
      <c r="J48" s="110">
        <f>SUM(J45,J41,J37,J30,J24)</f>
        <v>80.614000000000004</v>
      </c>
    </row>
    <row r="49" spans="1:10">
      <c r="A49" s="91"/>
      <c r="B49" s="56"/>
      <c r="C49" s="56"/>
      <c r="D49" s="56"/>
      <c r="E49" s="35"/>
      <c r="F49" s="35"/>
      <c r="G49" s="35"/>
      <c r="H49" s="35"/>
      <c r="I49" s="37"/>
      <c r="J49" s="38"/>
    </row>
    <row r="50" spans="1:10">
      <c r="A50" s="91"/>
      <c r="B50" s="56"/>
      <c r="C50" s="56"/>
      <c r="D50" s="56"/>
      <c r="E50" s="35"/>
      <c r="F50" s="35"/>
      <c r="G50" s="35"/>
      <c r="H50" s="35"/>
      <c r="I50" s="37"/>
      <c r="J50" s="38"/>
    </row>
    <row r="51" spans="1:10" ht="15.75" thickBot="1">
      <c r="A51" s="111"/>
      <c r="B51" s="112"/>
      <c r="C51" s="112"/>
      <c r="D51" s="112"/>
      <c r="E51" s="113"/>
      <c r="F51" s="113"/>
      <c r="G51" s="113"/>
      <c r="H51" s="113"/>
      <c r="I51" s="114"/>
      <c r="J51" s="115"/>
    </row>
  </sheetData>
  <mergeCells count="20">
    <mergeCell ref="E5:G5"/>
    <mergeCell ref="H5:J5"/>
    <mergeCell ref="A1:J1"/>
    <mergeCell ref="A2:I2"/>
    <mergeCell ref="E3:J3"/>
    <mergeCell ref="A4:D4"/>
    <mergeCell ref="E4:J4"/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Config</vt:lpstr>
      <vt:lpstr>SAV</vt:lpstr>
      <vt:lpstr>SAV TRANSPORT</vt:lpstr>
      <vt:lpstr>ARTICLES</vt:lpstr>
      <vt:lpstr>ADHERENTS</vt:lpstr>
      <vt:lpstr>FACTURE</vt:lpstr>
      <vt:lpstr>SAV_ADMIN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2020-10-30T00:43:09Z</cp:lastPrinted>
  <dcterms:created xsi:type="dcterms:W3CDTF">2020-10-03T09:41:14Z</dcterms:created>
  <dcterms:modified xsi:type="dcterms:W3CDTF">2020-10-31T20:59:32Z</dcterms:modified>
</cp:coreProperties>
</file>