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\"/>
    </mc:Choice>
  </mc:AlternateContent>
  <xr:revisionPtr revIDLastSave="0" documentId="13_ncr:1_{FDE82109-9731-440C-A988-B6EBE8507126}" xr6:coauthVersionLast="45" xr6:coauthVersionMax="45" xr10:uidLastSave="{00000000-0000-0000-0000-000000000000}"/>
  <bookViews>
    <workbookView xWindow="0" yWindow="0" windowWidth="28800" windowHeight="15750" activeTab="4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Feuil1" sheetId="19" r:id="rId5"/>
    <sheet name="SAV TRANSPORT" sheetId="11" r:id="rId6"/>
    <sheet name="SAV_ADMIN" sheetId="9" r:id="rId7"/>
    <sheet name="ADHERENTS" sheetId="18" r:id="rId8"/>
    <sheet name="BON_SAV" sheetId="17" r:id="rId9"/>
    <sheet name="RUFINO" sheetId="3" r:id="rId10"/>
    <sheet name="ARNOLD" sheetId="10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<sst xmlns="http://schemas.openxmlformats.org/spreadsheetml/2006/main" count="1773" uniqueCount="636">
  <si>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</si>
  <si>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</si>
  <si>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</si>
  <si>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</si>
  <si>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</si>
  <si>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</si>
  <si>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</si>
  <si>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</si>
  <si>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</si>
  <si>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</si>
  <si>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</si>
  <si>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</si>
  <si>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</si>
  <si>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</si>
  <si>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</si>
  <si>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</si>
  <si>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</si>
  <si>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</si>
  <si>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</si>
  <si>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</si>
  <si>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</si>
  <si>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</si>
  <si>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</si>
  <si>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</si>
  <si>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</si>
  <si>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</si>
  <si>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</si>
  <si>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</si>
  <si>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</si>
  <si>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</si>
  <si>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</si>
  <si>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</si>
  <si>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</si>
  <si>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</si>
  <si>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</si>
  <si>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</si>
  <si>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</si>
  <si>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</si>
  <si>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</si>
  <si>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</si>
  <si>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</si>
  <si>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</si>
  <si>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</si>
  <si>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</si>
  <si>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</si>
  <si>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</si>
  <si>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</si>
  <si>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</si>
  <si>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</si>
  <si>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</si>
  <si>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</si>
  <si>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</si>
  <si>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</si>
  <si>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</si>
  <si>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</si>
  <si>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</si>
  <si>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</si>
  <si>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</si>
  <si>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</si>
  <si>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</si>
  <si>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</si>
  <si>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</si>
  <si>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</si>
  <si>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</si>
  <si>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</si>
  <si>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</si>
  <si>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</si>
  <si>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</si>
  <si>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</si>
  <si>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</si>
  <si>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</si>
  <si>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</si>
  <si>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</si>
  <si>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</si>
  <si>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</si>
  <si>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</si>
  <si>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</si>
  <si>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</si>
  <si>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</si>
  <si>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</si>
  <si>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</si>
  <si>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</si>
  <si>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</si>
  <si>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</si>
  <si>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</si>
  <si>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</si>
  <si>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</si>
  <si>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</si>
  <si>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</si>
  <si>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</si>
  <si>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</si>
  <si>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</si>
  <si>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</si>
  <si>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</si>
  <si>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</si>
  <si>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</si>
  <si>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</si>
  <si>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</si>
  <si>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</si>
  <si>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</si>
  <si>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</si>
  <si>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</si>
  <si>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</si>
  <si>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</si>
  <si>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</si>
  <si>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</si>
  <si>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</si>
  <si>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</si>
  <si>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</si>
  <si>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</si>
  <si>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</si>
  <si>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</si>
  <si>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</si>
  <si>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</si>
  <si>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</si>
  <si>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</si>
  <si>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</si>
  <si>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</si>
  <si>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</si>
  <si>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</si>
  <si>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</si>
  <si>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</si>
  <si>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</si>
  <si>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</si>
  <si>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</si>
  <si>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</si>
  <si>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</si>
  <si>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</si>
  <si>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</si>
  <si>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</si>
  <si>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</si>
  <si>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</si>
  <si>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</si>
  <si>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</si>
  <si>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</si>
  <si>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</si>
  <si>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</si>
  <si>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</si>
  <si>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</si>
  <si>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</si>
  <si>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</si>
  <si>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</si>
  <si>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</si>
  <si>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</si>
  <si>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</si>
  <si>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</si>
  <si>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</si>
  <si>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</si>
  <si>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</si>
  <si>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</si>
  <si>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</si>
  <si>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</si>
  <si>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</si>
  <si>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</si>
  <si>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</si>
  <si>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</si>
  <si>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</si>
  <si>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</si>
  <si>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</si>
  <si>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</si>
  <si>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</si>
  <si>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</si>
  <si>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</si>
  <si>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</si>
  <si>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</si>
  <si>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</si>
  <si>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</si>
  <si>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</si>
  <si>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</si>
  <si>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</si>
  <si>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</si>
  <si>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</si>
  <si>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</si>
  <si>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</si>
  <si>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</si>
  <si>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</si>
  <si>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</si>
  <si>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</si>
  <si>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</si>
  <si>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</si>
  <si>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</si>
  <si>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</si>
  <si>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</si>
  <si>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</si>
  <si>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</si>
  <si>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</si>
  <si>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</si>
  <si>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</si>
  <si>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</si>
  <si>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</si>
  <si>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</si>
  <si>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</si>
  <si>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</si>
  <si>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</si>
  <si>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</si>
  <si>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</si>
  <si>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</si>
  <si>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</si>
  <si>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</si>
  <si>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</si>
  <si>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</si>
  <si>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</si>
  <si>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</si>
  <si>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</si>
  <si>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</si>
  <si>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</si>
  <si>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</si>
  <si>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</si>
  <si>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</si>
  <si>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</si>
  <si>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</si>
  <si>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</si>
  <si>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</si>
  <si>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</si>
  <si>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</si>
  <si>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</si>
  <si>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</si>
  <si>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</si>
  <si>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</si>
  <si>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</si>
  <si>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</si>
  <si>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</si>
  <si>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</si>
  <si>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</si>
  <si>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</si>
  <si>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</si>
  <si>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</si>
  <si>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</si>
  <si>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</si>
  <si>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</si>
  <si>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</si>
  <si>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</si>
  <si>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</si>
  <si>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</si>
  <si>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</si>
  <si>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</si>
  <si>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</si>
  <si>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</si>
  <si>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</si>
  <si>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</si>
  <si>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</si>
  <si>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</si>
  <si>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</si>
  <si>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</si>
  <si>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</si>
  <si>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</si>
  <si>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</si>
  <si>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</si>
  <si>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</si>
  <si>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</si>
  <si>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</si>
  <si>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</si>
  <si>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</si>
  <si>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</si>
  <si>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</si>
  <si>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</si>
  <si>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</si>
  <si>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</si>
  <si>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</si>
  <si>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</si>
  <si>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</si>
  <si>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</si>
  <si>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</si>
  <si>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</si>
  <si>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</si>
  <si>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</si>
  <si>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</si>
  <si>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</si>
  <si>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</si>
  <si>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</si>
  <si>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</si>
  <si>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</si>
  <si>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</si>
  <si>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</si>
  <si>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</si>
  <si>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</si>
  <si>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</si>
  <si>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</si>
  <si>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</si>
  <si>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</si>
  <si>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</si>
  <si>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</si>
  <si>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</si>
  <si>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</si>
  <si>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</si>
  <si>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</si>
  <si>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</si>
  <si>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</si>
  <si>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</si>
  <si>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</si>
  <si>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</si>
  <si>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</si>
  <si>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</si>
  <si>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</si>
  <si>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</si>
  <si>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</si>
  <si>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</si>
  <si>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</si>
  <si>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</si>
  <si>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</si>
  <si>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</si>
  <si>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</si>
  <si>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</si>
  <si>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</si>
  <si>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</si>
  <si>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</si>
  <si>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</si>
  <si>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</si>
  <si>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</si>
  <si>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</si>
  <si>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</si>
  <si>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</si>
  <si>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</si>
  <si>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</si>
  <si>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</si>
  <si>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</si>
  <si>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</si>
  <si>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</si>
  <si>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</si>
  <si>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</si>
  <si>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</si>
  <si>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</si>
  <si>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</si>
  <si>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</si>
  <si>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</si>
  <si>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</si>
  <si>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</si>
  <si>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</si>
  <si>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</si>
  <si>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</si>
  <si>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</si>
  <si>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</si>
  <si>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</si>
  <si>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</si>
  <si>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</si>
  <si>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</si>
  <si>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</si>
  <si>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</si>
  <si>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</si>
  <si>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</si>
  <si>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</si>
  <si>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</si>
  <si>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</si>
  <si>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</si>
  <si>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</si>
  <si>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</si>
  <si>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</si>
  <si>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</si>
  <si>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</si>
  <si>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</si>
  <si>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</si>
  <si>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</si>
  <si>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</si>
  <si>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</si>
  <si>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</si>
  <si>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</si>
  <si>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</si>
  <si>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</si>
  <si>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</si>
  <si>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</si>
  <si>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</si>
  <si>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</si>
  <si>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</si>
  <si>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</si>
  <si>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</si>
  <si>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</si>
  <si>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</si>
  <si>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</si>
  <si>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</si>
  <si>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</si>
  <si>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</si>
  <si>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</si>
  <si>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</si>
  <si>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</si>
  <si>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</si>
  <si>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</si>
  <si>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</si>
  <si>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</si>
  <si>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</si>
  <si>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</si>
  <si>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</si>
  <si>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</si>
  <si>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</si>
  <si>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</si>
  <si>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</si>
  <si>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</si>
  <si>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</si>
  <si>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</si>
  <si>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</si>
  <si>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</si>
  <si>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</si>
  <si>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</si>
  <si>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</si>
  <si>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</si>
  <si>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</si>
  <si>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</si>
  <si>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</si>
  <si>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</si>
  <si>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</si>
  <si>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</si>
  <si>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</si>
  <si>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</si>
  <si>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</si>
  <si>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</si>
  <si>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</si>
  <si>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</si>
  <si>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</si>
  <si>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</si>
  <si>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</si>
  <si>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</si>
  <si>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</si>
  <si>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</si>
  <si>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</si>
  <si>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</si>
  <si>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</si>
  <si>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</si>
  <si>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</si>
  <si>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</si>
  <si>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</si>
  <si>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</si>
  <si>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</si>
  <si>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</si>
  <si>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</si>
  <si>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</si>
  <si>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</si>
  <si>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</si>
  <si>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</si>
  <si>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</si>
  <si>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</si>
  <si>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</si>
  <si>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</si>
  <si>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</si>
  <si>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</si>
  <si>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</si>
  <si>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</si>
  <si>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</si>
  <si>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</si>
  <si>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</si>
  <si>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</si>
  <si>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</si>
  <si>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</si>
  <si>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</si>
  <si>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</si>
  <si>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</si>
  <si>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</si>
  <si>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</si>
  <si>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</si>
  <si>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</si>
  <si>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</si>
  <si>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</si>
  <si>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</si>
  <si>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</si>
  <si>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</si>
  <si>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</si>
  <si>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</si>
  <si>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</si>
  <si>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</si>
  <si>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</si>
  <si>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</si>
  <si>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</si>
  <si>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</si>
  <si>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</si>
  <si>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</si>
  <si>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</si>
  <si>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</si>
  <si>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</si>
  <si>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</si>
  <si>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</si>
  <si>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</si>
  <si>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</si>
  <si>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</si>
  <si>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</si>
  <si>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</si>
  <si>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</si>
  <si>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</si>
  <si>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</si>
  <si>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</si>
  <si>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</si>
  <si>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</si>
  <si>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</si>
  <si>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</si>
  <si>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</si>
  <si>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</si>
  <si>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</si>
  <si>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</si>
  <si>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</si>
  <si>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</si>
  <si>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</si>
  <si>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</si>
  <si>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</si>
  <si>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</si>
  <si>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</si>
  <si>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</si>
  <si>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</si>
  <si>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</si>
  <si>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</si>
  <si>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</si>
  <si>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</si>
  <si>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</si>
  <si>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</si>
  <si>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</si>
  <si>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</si>
  <si>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</si>
  <si>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</si>
  <si>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</si>
  <si>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</si>
  <si>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</si>
  <si>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</si>
  <si>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</si>
  <si>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</si>
  <si>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</si>
  <si>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</si>
  <si>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</si>
  <si>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</si>
  <si>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</si>
  <si>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</si>
  <si>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</si>
  <si>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</si>
  <si>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</si>
  <si>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</si>
  <si>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</si>
  <si>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</si>
  <si>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</si>
  <si>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</si>
  <si>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</si>
  <si>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</si>
  <si>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</si>
  <si>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</si>
  <si>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</si>
  <si>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</si>
  <si>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</si>
  <si>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</si>
  <si>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</si>
  <si>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</si>
  <si>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</si>
  <si>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</si>
  <si>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</si>
  <si>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</si>
  <si>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</si>
  <si>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</si>
  <si>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</si>
  <si>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</si>
  <si>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</si>
  <si>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</si>
  <si>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</si>
  <si>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</si>
  <si>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</si>
  <si>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</si>
  <si>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</si>
  <si>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</si>
  <si>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</si>
  <si>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</si>
  <si>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</si>
  <si>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</si>
  <si>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</si>
  <si>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</si>
  <si>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</si>
  <si>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</si>
  <si>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</si>
  <si>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</si>
  <si>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</si>
  <si>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</si>
  <si>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</si>
  <si>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</si>
  <si>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</si>
  <si>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</si>
  <si>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</si>
  <si>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</si>
  <si>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</si>
  <si>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</si>
  <si>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</si>
  <si>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</si>
  <si>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</si>
  <si>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</si>
  <si>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</si>
  <si>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</si>
  <si>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</si>
  <si>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</si>
  <si>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</si>
  <si>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</si>
  <si>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</si>
  <si>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</si>
  <si>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</si>
  <si>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</si>
  <si>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</si>
  <si>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</si>
  <si>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</si>
  <si>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</si>
  <si>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</si>
  <si>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</si>
  <si>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</si>
  <si>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</si>
  <si>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</si>
  <si>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</si>
  <si>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</si>
  <si>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</si>
  <si>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</si>
  <si>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</si>
  <si>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</si>
  <si>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</si>
  <si>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</si>
  <si>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</si>
  <si>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</si>
  <si>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</si>
  <si>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</si>
  <si>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</si>
  <si>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</si>
  <si>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</si>
  <si>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</si>
  <si>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</si>
  <si>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</si>
  <si>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</si>
  <si>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</si>
  <si>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</si>
  <si>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</si>
  <si>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</si>
  <si>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</si>
  <si>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</si>
  <si>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</si>
  <si>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</si>
  <si>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</si>
  <si>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</si>
  <si>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</si>
  <si>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</si>
  <si>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</si>
  <si>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</si>
  <si>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</si>
  <si>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</si>
  <si>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</si>
  <si>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</si>
  <si>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</si>
  <si>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</si>
  <si>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FDP Facturé</t>
  </si>
  <si>
    <t>Autre</t>
  </si>
  <si>
    <t>Otro</t>
  </si>
  <si>
    <t>C:\Users\Antho\Desktop\SAV\SAV_ADMIN_V3.xlsm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</si>
</sst>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6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0" fontId="0" fillId="15" borderId="20" xfId="0" applyFill="1" applyBorder="1" applyAlignment="1">
      <alignment horizontal="center" vertical="center"/>
    </xf>
    <xf numFmtId="44" fontId="0" fillId="0" borderId="21" xfId="4" applyFont="1" applyBorder="1" applyAlignment="1">
      <alignment horizontal="center" vertical="center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44" fontId="0" fillId="0" borderId="0" xfId="4" applyNumberFormat="1" applyFont="1"/>
    <xf numFmtId="0" fontId="33" fillId="13" borderId="0" xfId="0" applyFont="1" applyFill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</xdr:row>
          <xdr:rowOff>57150</xdr:rowOff>
        </xdr:from>
        <xdr:to>
          <xdr:col>12</xdr:col>
          <xdr:colOff>504825</xdr:colOff>
          <xdr:row>7</xdr:row>
          <xdr:rowOff>180975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4</xdr:row>
          <xdr:rowOff>152400</xdr:rowOff>
        </xdr:from>
        <xdr:to>
          <xdr:col>16</xdr:col>
          <xdr:colOff>685800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9</xdr:row>
          <xdr:rowOff>133350</xdr:rowOff>
        </xdr:from>
        <xdr:to>
          <xdr:col>16</xdr:col>
          <xdr:colOff>676275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0" dataDxfId="59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8"/>
    <tableColumn id="2" xr3:uid="{79C0F8F2-19F7-4FE3-8EF4-0EA164562E4F}" name="DESIGNATION" dataDxfId="57"/>
    <tableColumn id="3" xr3:uid="{791634A2-A0AF-4C3F-A30A-825BCA8B339C}" name="ORIGINE" dataDxfId="56"/>
    <tableColumn id="4" xr3:uid="{304AF527-86D2-4CF7-98BC-C88204C4110A}" name="PRODUCTO" dataDxfId="55"/>
    <tableColumn id="5" xr3:uid="{D3266655-BA91-4F92-9912-3D4DDF5DEB4F}" name="ORIGEN" dataDxfId="54"/>
    <tableColumn id="14" xr3:uid="{6030AB86-FDB6-4B71-A0F4-FE59C5B62485}" name="INFO" dataDxfId="53"/>
    <tableColumn id="6" xr3:uid="{0E5C1DEA-0939-4792-8B37-94866D0EAF30}" name="PRIX_x000a_(sans FDP)" dataDxfId="52"/>
    <tableColumn id="9" xr3:uid="{F9860875-4235-4962-AAE7-EB970D38F5DB}" name="UNITÉ" dataDxfId="51" dataCellStyle="Euro"/>
    <tableColumn id="10" xr3:uid="{85F486C1-0597-4DC9-8C11-4CE768E772CC}" name="10kg" dataDxfId="50"/>
    <tableColumn id="11" xr3:uid="{C11198F1-154B-4D84-AFAB-E94505E7C5DF}" name="30kg" dataDxfId="49"/>
    <tableColumn id="16" xr3:uid="{3E113CA0-D6EC-49B5-86B0-58BF3577B0C7}" name="60kg" dataDxfId="48"/>
    <tableColumn id="7" xr3:uid="{16A23538-3B7E-47BF-9AD3-C220896082A8}" name="5kg_x000a_Min" dataDxfId="47"/>
    <tableColumn id="8" xr3:uid="{213E28D3-3081-4A9B-AABA-ADED369F93B7}" name="Colonne1" dataDxfId="46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5" dataDxfId="44" tableBorderDxfId="43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2"/>
    <tableColumn id="13" xr3:uid="{2E881B10-CDCF-4241-A3A4-ABC917F942FA}" name="Id" dataDxfId="41">
      <calculatedColumnFormula>CELL("ligne",C17)</calculatedColumnFormula>
    </tableColumn>
    <tableColumn id="2" xr3:uid="{71E84DFA-5F71-48D5-B5AE-CE8ED299EB24}" name="Code" dataDxfId="40"/>
    <tableColumn id="3" xr3:uid="{13613131-9551-4328-90BE-188E619E38C5}" name="Designation" dataDxfId="39"/>
    <tableColumn id="4" xr3:uid="{2CF57491-650F-430B-8CA4-B05F799A0782}" name="Qté" dataDxfId="38"/>
    <tableColumn id="5" xr3:uid="{BBF0133A-C9D4-4CD4-98FB-6F0D2CAE6E6B}" name="Unité" dataDxfId="37"/>
    <tableColumn id="6" xr3:uid="{F4A947C4-89D8-4398-A083-3F05CFA31F7A}" name="Cause" dataDxfId="36"/>
    <tableColumn id="7" xr3:uid="{A35DD11A-DC3E-4B49-B861-959CFE871259}" name="Commentaires" dataDxfId="35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3" insertRow="1" totalsRowShown="0">
  <autoFilter ref="B2:L3" xr:uid="{29735CBC-4A44-461C-8BBD-E099AF7A7628}"/>
  <tableColumns count="11">
    <tableColumn id="1" xr3:uid="{B376FB57-41B7-41DF-B726-B3CBD8490EC1}" name="Adhérents"/>
    <tableColumn id="2" xr3:uid="{7254325C-E5ED-4A3F-B0D4-4A716AF28498}" name="Code" dataDxfId="34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3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2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31" dataCellStyle="Monétaire">
      <calculatedColumnFormula>_xlfn.SWITCH(Tableau6[[#This Row],[Avoir]],"TOTAL",Tableau6[[#This Row],[Prix facturé]]*Tableau6[[#This Row],[Qté]],"50%",(Tableau6[[#This Row],[Prix facturé]]-$P$1)*0.5*Tableau6[[#This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0"/>
    <tableColumn id="2" xr3:uid="{8DFC754C-6CDD-4E80-90EA-B3E7E18B4A3F}" name="Groupe" dataDxfId="29"/>
    <tableColumn id="3" xr3:uid="{618B2832-B035-46DE-8B6B-E3F739882344}" name="Nom" dataDxfId="28"/>
    <tableColumn id="4" xr3:uid="{ED01026A-D995-4823-B05B-707BCC7D32DA}" name="Prénom" dataDxfId="27"/>
    <tableColumn id="5" xr3:uid="{1EF478E4-D45A-4DC0-893D-ED1065344A0B}" name="Adresse" dataDxfId="26"/>
    <tableColumn id="6" xr3:uid="{1C414D51-A3B1-440A-A4B3-46CEBA033171}" name="Complément" dataDxfId="25"/>
    <tableColumn id="7" xr3:uid="{6FE27231-B300-4533-B60B-00A80D833318}" name="Code Postal" dataDxfId="24"/>
    <tableColumn id="8" xr3:uid="{4BCB210A-527B-4D2A-B453-0FBAB0092EED}" name="Ville" dataDxfId="23"/>
    <tableColumn id="9" xr3:uid="{B40D9E1C-C9F4-4237-9A17-5D3B7C2409AA}" name="Téléphone" dataDxfId="22"/>
    <tableColumn id="10" xr3:uid="{94189408-EF41-487C-B363-9587E84551F1}" name="Email" dataDxfId="21"/>
    <tableColumn id="11" xr3:uid="{764EB7C1-CE48-4594-A554-B68AE9478C43}" name="Date" dataDxfId="20"/>
    <tableColumn id="12" xr3:uid="{35A7225E-7301-4F26-99EB-5199BB11E4EE}" name="Ville2" dataDxfId="19"/>
    <tableColumn id="13" xr3:uid="{6684DFA4-19BF-4B75-8BD0-AF8C9F5810D6}" name="Code Postal3" dataDxfId="18"/>
    <tableColumn id="14" xr3:uid="{65F0D2F0-CDD8-4808-923F-E7927C362E97}" name="Prénom NOM" dataDxfId="17"/>
    <tableColumn id="15" xr3:uid="{E7464922-2589-424C-B3A9-6BC29EA7B8DB}" name="Prénom NOM4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5" dataDxfId="14" tableBorderDxfId="13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2"/>
    <tableColumn id="2" xr3:uid="{477EB059-8388-4060-83C3-F27821E44273}" name="Designation" dataDxfId="11"/>
    <tableColumn id="3" xr3:uid="{A7515F3A-933D-48E9-A3C4-5DC877C7282F}" name="Qté" dataDxfId="10"/>
    <tableColumn id="4" xr3:uid="{23535833-97E1-4A28-92B6-7D2DC59018BF}" name="Unité" dataDxfId="9"/>
    <tableColumn id="9" xr3:uid="{FF7D90B4-0EBD-48B5-80B0-C32A6F259197}" name="€/Kg" dataDxfId="8" dataCellStyle="Monétaire"/>
    <tableColumn id="5" xr3:uid="{2BE2B6DE-FEFB-4DE7-81A2-9A2926F1A35B}" name="Cause" dataDxfId="7"/>
    <tableColumn id="6" xr3:uid="{78C02F95-5F3B-4E3A-9ED8-94BAB9AF9DD1}" name="Avoir" dataDxfId="6"/>
    <tableColumn id="7" xr3:uid="{0C811301-9E4C-43C2-8BB1-1E190A93FF4E}" name="Commentaires" dataDxfId="5"/>
    <tableColumn id="8" xr3:uid="{43E395EC-14E1-4060-94B9-FB0DBBA8A208}" name="A Rembourser" dataDxfId="4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">
      <calculatedColumnFormula>VLOOKUP(Tableau7[[#This Row],[Unité]],Config!$B$6:$C$12,2,FALSE)</calculatedColumnFormula>
    </tableColumn>
    <tableColumn id="8" xr3:uid="{95E24946-E409-4E1F-AC3D-1D2185A2A03D}" name="Causa" dataDxfId="1">
      <calculatedColumnFormula>VLOOKUP(Tableau7[[#This Row],[Cause]],Config!$B$1:$C$4,2,FALSE)</calculatedColumnFormula>
    </tableColumn>
    <tableColumn id="9" xr3:uid="{6126BD0C-9AA5-4CAD-B444-4118C3EA0A5E}" name="ID_regrouper" dataDxfId="0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10" Type="http://schemas.openxmlformats.org/officeDocument/2006/relationships/table" Target="../tables/table6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62" priority="2">
      <formula>COUNTIF($C69,"*BIO*")&gt;0</formula>
    </cfRule>
  </conditionalFormatting>
  <conditionalFormatting sqref="H2:H68 H70:H199">
    <cfRule type="expression" dxfId="61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72" t="s">
        <v>119</v>
      </c>
      <c r="E1" s="172"/>
      <c r="F1" s="172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633</v>
      </c>
      <c r="C5" s="12" t="s">
        <v>634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29" sqref="H29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83" t="s">
        <v>44</v>
      </c>
      <c r="C2" s="184"/>
      <c r="D2" s="184"/>
      <c r="E2" s="184"/>
      <c r="F2" s="184"/>
      <c r="G2" s="184"/>
      <c r="H2" s="184"/>
      <c r="I2" s="185"/>
      <c r="J2" s="141"/>
      <c r="K2" s="141"/>
      <c r="L2" s="180" t="s">
        <v>122</v>
      </c>
      <c r="M2" s="181"/>
      <c r="N2" s="141"/>
      <c r="O2" s="141"/>
      <c r="P2" s="141"/>
      <c r="Q2" s="141"/>
      <c r="R2" s="141"/>
      <c r="S2" s="141"/>
    </row>
    <row r="3" spans="1:19" ht="15.75">
      <c r="A3" s="141"/>
      <c r="B3" s="186" t="s">
        <v>45</v>
      </c>
      <c r="C3" s="187"/>
      <c r="D3" s="187"/>
      <c r="E3" s="187"/>
      <c r="F3" s="187"/>
      <c r="G3" s="187"/>
      <c r="H3" s="187"/>
      <c r="I3" s="188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93" t="s">
        <v>121</v>
      </c>
      <c r="C4" s="194"/>
      <c r="D4" s="194"/>
      <c r="E4" s="194"/>
      <c r="F4" s="194"/>
      <c r="G4" s="194"/>
      <c r="H4" s="194"/>
      <c r="I4" s="195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9" t="s">
        <v>47</v>
      </c>
      <c r="C5" s="190"/>
      <c r="D5" s="190"/>
      <c r="E5" s="190"/>
      <c r="F5" s="191" t="s">
        <v>48</v>
      </c>
      <c r="G5" s="191"/>
      <c r="H5" s="191"/>
      <c r="I5" s="192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3" t="s">
        <v>51</v>
      </c>
      <c r="G6" s="173"/>
      <c r="H6" s="173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78" t="s">
        <v>55</v>
      </c>
      <c r="G7" s="178"/>
      <c r="H7" s="178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78" t="s">
        <v>59</v>
      </c>
      <c r="G8" s="178"/>
      <c r="H8" s="178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78" t="s">
        <v>63</v>
      </c>
      <c r="G9" s="178"/>
      <c r="H9" s="178"/>
      <c r="I9" s="179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78"/>
      <c r="G10" s="178"/>
      <c r="H10" s="178"/>
      <c r="I10" s="179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78" t="s">
        <v>65</v>
      </c>
      <c r="G11" s="178"/>
      <c r="H11" s="178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3" t="s">
        <v>67</v>
      </c>
      <c r="G12" s="173"/>
      <c r="H12" s="173"/>
      <c r="I12" s="182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3"/>
      <c r="G13" s="173"/>
      <c r="H13" s="173"/>
      <c r="I13" s="182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3" t="s">
        <v>65</v>
      </c>
      <c r="G14" s="173"/>
      <c r="H14" s="173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74" t="s">
        <v>72</v>
      </c>
      <c r="C15" s="175"/>
      <c r="D15" s="175"/>
      <c r="E15" s="175"/>
      <c r="F15" s="176" t="s">
        <v>137</v>
      </c>
      <c r="G15" s="176"/>
      <c r="H15" s="176"/>
      <c r="I15" s="177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sheetProtection algorithmName="SHA-512" hashValue="KRsVfF0yIZiHKE9lMyHaObBtVVvSsw+l4Rmlhhc3wYUDG+e3GEipO1ku35QzmmB5De+LNlK4dEqB3nKxXV2i0g==" saltValue="e8yAwxoGA9fqHM8hhDXhlA==" spinCount="100000" sheet="1" objects="1" scenarios="1"/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1" r:id="rId4" name="CommandButton4">
          <controlPr defaultSize="0" autoLine="0" r:id="rId5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4" name="CommandButton4"/>
      </mc:Fallback>
    </mc:AlternateContent>
    <mc:AlternateContent xmlns:mc="http://schemas.openxmlformats.org/markup-compatibility/2006">
      <mc:Choice Requires="x14">
        <control shapeId="20483" r:id="rId6" name="CommandButton2">
          <controlPr defaultSize="0" autoLine="0" r:id="rId7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9" r:id="rId10" name="CommandButton3">
          <controlPr defaultSize="0" autoLine="0" r:id="rId11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10" name="CommandButton3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4D62D-A939-446B-AF38-BD6C1EE1BD70}">
  <sheetPr codeName="Feuil5">
    <tabColor theme="5"/>
  </sheetPr>
  <dimension ref="C1"/>
  <sheetViews>
    <sheetView tabSelected="1" workbookViewId="0">
      <selection activeCell="D5" sqref="D5"/>
    </sheetView>
  </sheetViews>
  <sheetFormatPr baseColWidth="10" defaultRowHeight="15"/>
  <sheetData>
    <row r="1" spans="3:3">
      <c r="C1" t="s">
        <v>635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9</xdr:col>
                <xdr:colOff>228600</xdr:colOff>
                <xdr:row>4</xdr:row>
                <xdr:rowOff>57150</xdr:rowOff>
              </from>
              <to>
                <xdr:col>12</xdr:col>
                <xdr:colOff>504825</xdr:colOff>
                <xdr:row>7</xdr:row>
                <xdr:rowOff>180975</xdr:rowOff>
              </to>
            </anchor>
          </controlPr>
        </control>
      </mc:Choice>
      <mc:Fallback>
        <control shapeId="3788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P3"/>
  <sheetViews>
    <sheetView workbookViewId="0">
      <selection activeCell="D17" sqref="D17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9" bestFit="1" customWidth="1"/>
    <col min="12" max="12" width="11.42578125" style="169"/>
  </cols>
  <sheetData>
    <row r="1" spans="2:16" ht="42.75" customHeight="1" thickBot="1">
      <c r="O1" s="167" t="s">
        <v>632</v>
      </c>
      <c r="P1" s="168"/>
    </row>
    <row r="2" spans="2:16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69" t="s">
        <v>128</v>
      </c>
      <c r="L2" s="169" t="s">
        <v>127</v>
      </c>
    </row>
    <row r="3" spans="2:16" ht="13.5" customHeight="1">
      <c r="C3" s="120"/>
      <c r="F3" s="120"/>
      <c r="J3" s="119"/>
      <c r="L3" s="171"/>
    </row>
  </sheetData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r:id="rId5">
            <anchor>
              <from>
                <xdr:col>14</xdr:col>
                <xdr:colOff>38100</xdr:colOff>
                <xdr:row>4</xdr:row>
                <xdr:rowOff>152400</xdr:rowOff>
              </from>
              <to>
                <xdr:col>16</xdr:col>
                <xdr:colOff>685800</xdr:colOff>
                <xdr:row>8</xdr:row>
                <xdr:rowOff>142875</xdr:rowOff>
              </to>
            </anchor>
          </controlPr>
        </control>
      </mc:Choice>
      <mc:Fallback>
        <control shapeId="13314" r:id="rId4" name="CommandButton1"/>
      </mc:Fallback>
    </mc:AlternateContent>
    <mc:AlternateContent xmlns:mc="http://schemas.openxmlformats.org/markup-compatibility/2006">
      <mc:Choice Requires="x14">
        <control shapeId="13315" r:id="rId6" name="CommandButton2">
          <controlPr defaultSize="0" autoLine="0" r:id="rId7">
            <anchor>
              <from>
                <xdr:col>14</xdr:col>
                <xdr:colOff>28575</xdr:colOff>
                <xdr:row>9</xdr:row>
                <xdr:rowOff>133350</xdr:rowOff>
              </from>
              <to>
                <xdr:col>16</xdr:col>
                <xdr:colOff>676275</xdr:colOff>
                <xdr:row>13</xdr:row>
                <xdr:rowOff>123825</xdr:rowOff>
              </to>
            </anchor>
          </controlPr>
        </control>
      </mc:Choice>
      <mc:Fallback>
        <control shapeId="13315" r:id="rId6" name="CommandButton2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C13" sqref="C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6" t="s">
        <v>129</v>
      </c>
      <c r="C2" s="196"/>
      <c r="D2" s="196"/>
      <c r="E2" s="196"/>
      <c r="F2" s="196"/>
      <c r="G2" s="196"/>
      <c r="H2" s="196"/>
      <c r="I2" s="196"/>
      <c r="J2" s="196"/>
      <c r="K2" s="196"/>
      <c r="L2" s="196" t="s">
        <v>48</v>
      </c>
      <c r="M2" s="196"/>
      <c r="N2" s="196"/>
      <c r="O2" s="164" t="s">
        <v>130</v>
      </c>
      <c r="P2" s="164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83" t="s">
        <v>44</v>
      </c>
      <c r="D1" s="184"/>
      <c r="E1" s="184"/>
      <c r="F1" s="184"/>
      <c r="G1" s="184"/>
      <c r="H1" s="184"/>
      <c r="I1" s="184"/>
      <c r="J1" s="184"/>
      <c r="K1" s="185"/>
    </row>
    <row r="2" spans="3:16" ht="15.75" customHeight="1">
      <c r="C2" s="186"/>
      <c r="D2" s="187"/>
      <c r="E2" s="187"/>
      <c r="F2" s="187"/>
      <c r="G2" s="187"/>
      <c r="H2" s="187"/>
      <c r="I2" s="187"/>
      <c r="J2" s="187"/>
      <c r="K2" s="149"/>
      <c r="N2" s="200" t="s">
        <v>136</v>
      </c>
      <c r="O2" s="200"/>
      <c r="P2" s="200"/>
    </row>
    <row r="3" spans="3:16" ht="20.25">
      <c r="C3" s="193" t="s">
        <v>121</v>
      </c>
      <c r="D3" s="194"/>
      <c r="E3" s="194"/>
      <c r="F3" s="194"/>
      <c r="G3" s="194"/>
      <c r="H3" s="194"/>
      <c r="I3" s="194"/>
      <c r="J3" s="194"/>
      <c r="K3" s="195"/>
      <c r="N3" s="200" t="s">
        <v>631</v>
      </c>
      <c r="O3" s="200"/>
      <c r="P3" s="200"/>
    </row>
    <row r="4" spans="3:16" ht="15" customHeight="1">
      <c r="C4" s="189" t="s">
        <v>47</v>
      </c>
      <c r="D4" s="190"/>
      <c r="E4" s="191" t="s">
        <v>48</v>
      </c>
      <c r="F4" s="191"/>
      <c r="G4" s="191"/>
      <c r="H4" s="191"/>
      <c r="I4" s="191"/>
      <c r="J4" s="191"/>
      <c r="K4" s="192"/>
    </row>
    <row r="5" spans="3:16" ht="15" customHeight="1">
      <c r="C5" s="150" t="s">
        <v>49</v>
      </c>
      <c r="D5" s="122" t="s">
        <v>120</v>
      </c>
      <c r="E5" s="173" t="s">
        <v>51</v>
      </c>
      <c r="F5" s="173"/>
      <c r="G5" s="173"/>
      <c r="H5" s="173"/>
      <c r="I5" s="197" t="s">
        <v>120</v>
      </c>
      <c r="J5" s="198"/>
      <c r="K5" s="199"/>
    </row>
    <row r="6" spans="3:16">
      <c r="C6" s="150" t="s">
        <v>53</v>
      </c>
      <c r="D6" s="122" t="s">
        <v>120</v>
      </c>
      <c r="E6" s="201" t="s">
        <v>55</v>
      </c>
      <c r="F6" s="201"/>
      <c r="G6" s="201"/>
      <c r="H6" s="201"/>
      <c r="I6" s="197" t="s">
        <v>120</v>
      </c>
      <c r="J6" s="198"/>
      <c r="K6" s="199"/>
    </row>
    <row r="7" spans="3:16" ht="15" customHeight="1">
      <c r="C7" s="150" t="s">
        <v>57</v>
      </c>
      <c r="D7" s="122" t="s">
        <v>120</v>
      </c>
      <c r="E7" s="201" t="s">
        <v>138</v>
      </c>
      <c r="F7" s="201"/>
      <c r="G7" s="201"/>
      <c r="H7" s="201"/>
      <c r="I7" s="197" t="s">
        <v>120</v>
      </c>
      <c r="J7" s="198"/>
      <c r="K7" s="199"/>
    </row>
    <row r="8" spans="3:16" ht="15" customHeight="1">
      <c r="C8" s="150" t="s">
        <v>61</v>
      </c>
      <c r="D8" s="122" t="s">
        <v>120</v>
      </c>
      <c r="E8" s="201" t="s">
        <v>63</v>
      </c>
      <c r="F8" s="201"/>
      <c r="G8" s="201"/>
      <c r="H8" s="201"/>
      <c r="I8" s="201"/>
      <c r="J8" s="201"/>
      <c r="K8" s="202"/>
    </row>
    <row r="9" spans="3:16">
      <c r="C9" s="150" t="s">
        <v>64</v>
      </c>
      <c r="D9" s="122" t="s">
        <v>120</v>
      </c>
      <c r="E9" s="201"/>
      <c r="F9" s="201"/>
      <c r="G9" s="201"/>
      <c r="H9" s="201"/>
      <c r="I9" s="201"/>
      <c r="J9" s="201"/>
      <c r="K9" s="202"/>
    </row>
    <row r="10" spans="3:16" ht="15" customHeight="1">
      <c r="C10" s="150" t="s">
        <v>59</v>
      </c>
      <c r="D10" s="122" t="s">
        <v>120</v>
      </c>
      <c r="E10" s="201" t="s">
        <v>65</v>
      </c>
      <c r="F10" s="201"/>
      <c r="G10" s="201"/>
      <c r="H10" s="201"/>
      <c r="I10" s="197" t="s">
        <v>120</v>
      </c>
      <c r="J10" s="198"/>
      <c r="K10" s="199"/>
    </row>
    <row r="11" spans="3:16" ht="15" customHeight="1">
      <c r="C11" s="150" t="s">
        <v>55</v>
      </c>
      <c r="D11" s="122" t="s">
        <v>120</v>
      </c>
      <c r="E11" s="173" t="s">
        <v>139</v>
      </c>
      <c r="F11" s="173"/>
      <c r="G11" s="173"/>
      <c r="H11" s="173"/>
      <c r="I11" s="173"/>
      <c r="J11" s="173"/>
      <c r="K11" s="182"/>
    </row>
    <row r="12" spans="3:16">
      <c r="C12" s="150" t="s">
        <v>68</v>
      </c>
      <c r="D12" s="122" t="s">
        <v>120</v>
      </c>
      <c r="E12" s="173"/>
      <c r="F12" s="173"/>
      <c r="G12" s="173"/>
      <c r="H12" s="173"/>
      <c r="I12" s="173"/>
      <c r="J12" s="173"/>
      <c r="K12" s="182"/>
    </row>
    <row r="13" spans="3:16" ht="15" customHeight="1">
      <c r="C13" s="150" t="s">
        <v>70</v>
      </c>
      <c r="D13" s="122" t="s">
        <v>120</v>
      </c>
      <c r="E13" s="173" t="s">
        <v>65</v>
      </c>
      <c r="F13" s="173"/>
      <c r="G13" s="173"/>
      <c r="H13" s="173"/>
      <c r="I13" s="197" t="s">
        <v>120</v>
      </c>
      <c r="J13" s="198"/>
      <c r="K13" s="199"/>
    </row>
    <row r="14" spans="3:16" ht="15" customHeight="1">
      <c r="C14" s="174"/>
      <c r="D14" s="175"/>
      <c r="E14" s="176" t="s">
        <v>120</v>
      </c>
      <c r="F14" s="176"/>
      <c r="G14" s="176"/>
      <c r="H14" s="176"/>
      <c r="I14" s="176"/>
      <c r="J14" s="176"/>
      <c r="K14" s="177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70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1:K1"/>
    <mergeCell ref="C2:J2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5" r:id="rId4" name="CommandButton3">
          <controlPr defaultSize="0" autoLine="0" r:id="rId5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4" name="CommandButton3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6" r:id="rId8" name="CommandButton4">
          <controlPr defaultSize="0" autoLine="0" r:id="rId9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8" name="CommandButton4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83" t="s">
        <v>44</v>
      </c>
      <c r="B1" s="184"/>
      <c r="C1" s="184"/>
      <c r="D1" s="184"/>
      <c r="E1" s="184"/>
      <c r="F1" s="184"/>
      <c r="G1" s="184"/>
      <c r="H1" s="184"/>
      <c r="I1" s="184"/>
      <c r="J1" s="185"/>
    </row>
    <row r="2" spans="1:10" ht="15.75">
      <c r="A2" s="186" t="s">
        <v>45</v>
      </c>
      <c r="B2" s="211"/>
      <c r="C2" s="211"/>
      <c r="D2" s="211"/>
      <c r="E2" s="211"/>
      <c r="F2" s="211"/>
      <c r="G2" s="211"/>
      <c r="H2" s="211"/>
      <c r="I2" s="211"/>
      <c r="J2" s="16"/>
    </row>
    <row r="3" spans="1:10" ht="20.25">
      <c r="A3" s="17"/>
      <c r="B3" s="18"/>
      <c r="C3" s="18"/>
      <c r="D3" s="18"/>
      <c r="E3" s="212" t="s">
        <v>46</v>
      </c>
      <c r="F3" s="212"/>
      <c r="G3" s="212"/>
      <c r="H3" s="212"/>
      <c r="I3" s="212"/>
      <c r="J3" s="213"/>
    </row>
    <row r="4" spans="1:10">
      <c r="A4" s="189" t="s">
        <v>47</v>
      </c>
      <c r="B4" s="214"/>
      <c r="C4" s="214"/>
      <c r="D4" s="214"/>
      <c r="E4" s="215" t="s">
        <v>48</v>
      </c>
      <c r="F4" s="215"/>
      <c r="G4" s="215"/>
      <c r="H4" s="215"/>
      <c r="I4" s="215"/>
      <c r="J4" s="192"/>
    </row>
    <row r="5" spans="1:10">
      <c r="A5" s="19" t="s">
        <v>49</v>
      </c>
      <c r="B5" s="20"/>
      <c r="C5" s="21"/>
      <c r="D5" s="22" t="s">
        <v>50</v>
      </c>
      <c r="E5" s="208" t="s">
        <v>51</v>
      </c>
      <c r="F5" s="208"/>
      <c r="G5" s="208"/>
      <c r="H5" s="206" t="s">
        <v>52</v>
      </c>
      <c r="I5" s="206"/>
      <c r="J5" s="207"/>
    </row>
    <row r="6" spans="1:10">
      <c r="A6" s="19" t="s">
        <v>53</v>
      </c>
      <c r="B6" s="20"/>
      <c r="C6" s="21"/>
      <c r="D6" s="22" t="s">
        <v>54</v>
      </c>
      <c r="E6" s="205" t="s">
        <v>55</v>
      </c>
      <c r="F6" s="205"/>
      <c r="G6" s="205"/>
      <c r="H6" s="206" t="s">
        <v>56</v>
      </c>
      <c r="I6" s="206"/>
      <c r="J6" s="207"/>
    </row>
    <row r="7" spans="1:10">
      <c r="A7" s="19" t="s">
        <v>57</v>
      </c>
      <c r="B7" s="20"/>
      <c r="C7" s="21"/>
      <c r="D7" s="22" t="s">
        <v>58</v>
      </c>
      <c r="E7" s="205" t="s">
        <v>59</v>
      </c>
      <c r="F7" s="205"/>
      <c r="G7" s="205"/>
      <c r="H7" s="206" t="s">
        <v>60</v>
      </c>
      <c r="I7" s="206"/>
      <c r="J7" s="207"/>
    </row>
    <row r="8" spans="1:10">
      <c r="A8" s="19" t="s">
        <v>61</v>
      </c>
      <c r="B8" s="20"/>
      <c r="C8" s="21"/>
      <c r="D8" s="22" t="s">
        <v>62</v>
      </c>
      <c r="E8" s="205" t="s">
        <v>63</v>
      </c>
      <c r="F8" s="205"/>
      <c r="G8" s="205"/>
      <c r="H8" s="205"/>
      <c r="I8" s="205"/>
      <c r="J8" s="202"/>
    </row>
    <row r="9" spans="1:10">
      <c r="A9" s="19" t="s">
        <v>64</v>
      </c>
      <c r="B9" s="20"/>
      <c r="C9" s="21"/>
      <c r="D9" s="22"/>
      <c r="E9" s="205"/>
      <c r="F9" s="205"/>
      <c r="G9" s="205"/>
      <c r="H9" s="205"/>
      <c r="I9" s="205"/>
      <c r="J9" s="202"/>
    </row>
    <row r="10" spans="1:10">
      <c r="A10" s="19" t="s">
        <v>59</v>
      </c>
      <c r="B10" s="20"/>
      <c r="C10" s="21"/>
      <c r="D10" s="22" t="s">
        <v>60</v>
      </c>
      <c r="E10" s="205" t="s">
        <v>65</v>
      </c>
      <c r="F10" s="205"/>
      <c r="G10" s="205"/>
      <c r="H10" s="206" t="s">
        <v>66</v>
      </c>
      <c r="I10" s="206"/>
      <c r="J10" s="207"/>
    </row>
    <row r="11" spans="1:10">
      <c r="A11" s="19" t="s">
        <v>55</v>
      </c>
      <c r="B11" s="20"/>
      <c r="C11" s="21"/>
      <c r="D11" s="22" t="s">
        <v>56</v>
      </c>
      <c r="E11" s="208" t="s">
        <v>67</v>
      </c>
      <c r="F11" s="208"/>
      <c r="G11" s="208"/>
      <c r="H11" s="208"/>
      <c r="I11" s="208"/>
      <c r="J11" s="182"/>
    </row>
    <row r="12" spans="1:10">
      <c r="A12" s="19" t="s">
        <v>68</v>
      </c>
      <c r="B12" s="20"/>
      <c r="C12" s="21"/>
      <c r="D12" s="22" t="s">
        <v>69</v>
      </c>
      <c r="E12" s="208"/>
      <c r="F12" s="208"/>
      <c r="G12" s="208"/>
      <c r="H12" s="208"/>
      <c r="I12" s="208"/>
      <c r="J12" s="182"/>
    </row>
    <row r="13" spans="1:10">
      <c r="A13" s="19" t="s">
        <v>70</v>
      </c>
      <c r="B13" s="20"/>
      <c r="C13" s="21"/>
      <c r="D13" s="22"/>
      <c r="E13" s="208" t="s">
        <v>65</v>
      </c>
      <c r="F13" s="208"/>
      <c r="G13" s="208"/>
      <c r="H13" s="206" t="s">
        <v>71</v>
      </c>
      <c r="I13" s="206"/>
      <c r="J13" s="207"/>
    </row>
    <row r="14" spans="1:10">
      <c r="A14" s="174" t="s">
        <v>72</v>
      </c>
      <c r="B14" s="209"/>
      <c r="C14" s="209"/>
      <c r="D14" s="209"/>
      <c r="E14" s="210" t="s">
        <v>73</v>
      </c>
      <c r="F14" s="210"/>
      <c r="G14" s="210"/>
      <c r="H14" s="210"/>
      <c r="I14" s="210"/>
      <c r="J14" s="177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03" t="s">
        <v>85</v>
      </c>
      <c r="B17" s="204"/>
      <c r="C17" s="204"/>
      <c r="D17" s="204"/>
      <c r="E17" s="204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E5:G5"/>
    <mergeCell ref="H5:J5"/>
    <mergeCell ref="A1:J1"/>
    <mergeCell ref="A2:I2"/>
    <mergeCell ref="E3:J3"/>
    <mergeCell ref="A4:D4"/>
    <mergeCell ref="E4:J4"/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FACTURE</vt:lpstr>
      <vt:lpstr>Config</vt:lpstr>
      <vt:lpstr>SAV</vt:lpstr>
      <vt:lpstr>Feuil1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2020-10-27T11:23:30Z</dcterms:modified>
</cp:coreProperties>
</file>