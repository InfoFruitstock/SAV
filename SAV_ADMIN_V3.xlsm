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Fruitstock\SAV\SAV\"/>
    </mc:Choice>
  </mc:AlternateContent>
  <xr:revisionPtr revIDLastSave="0" documentId="13_ncr:1_{47DFB688-4C80-406E-85F5-1D4811607FA9}" xr6:coauthVersionLast="45" xr6:coauthVersionMax="45" xr10:uidLastSave="{00000000-0000-0000-0000-000000000000}"/>
  <bookViews>
    <workbookView xWindow="-120" yWindow="-120" windowWidth="29040" windowHeight="15990" activeTab="5" xr2:uid="{B44FA9F1-17E1-4511-9003-0930391FF828}"/>
  </bookViews>
  <sheets>
    <sheet name="BBD" sheetId="1" r:id="rId1"/>
    <sheet name="FACTURE" sheetId="13" r:id="rId2"/>
    <sheet name="Config" sheetId="5" r:id="rId3"/>
    <sheet name="SAV" sheetId="14" r:id="rId4"/>
    <sheet name="SAV TRANSPORT" sheetId="11" r:id="rId5"/>
    <sheet name="SAV_ADMIN" sheetId="9" r:id="rId6"/>
    <sheet name="ADHERENTS" sheetId="18" r:id="rId7"/>
    <sheet name="BON_SAV" sheetId="17" r:id="rId8"/>
    <sheet name="RUFINO" sheetId="3" r:id="rId9"/>
    <sheet name="ARNOLD" sheetId="10" r:id="rId10"/>
  </sheets>
  <functionGroups builtInGroupCount="19"/>
  <externalReferences>
    <externalReference r:id="rId11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s">BBD!$B$2:$B$380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7">BON_SAV!$C$1:$K$38</definedName>
    <definedName name="_xlnm.Print_Area" localSheetId="3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9" l="1"/>
  <c r="L6" i="9" s="1"/>
  <c r="K5" i="9"/>
  <c r="L5" i="9" s="1"/>
  <c r="K4" i="9"/>
  <c r="L4" i="9" s="1"/>
  <c r="K3" i="9"/>
  <c r="L3" i="9" s="1"/>
  <c r="M200" i="1" l="1"/>
  <c r="M201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<sst xmlns="http://schemas.openxmlformats.org/spreadsheetml/2006/main" count="1811" uniqueCount="648">
  <si>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</si>
  <si>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</si>
  <si>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</si>
  <si>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</si>
  <si>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</si>
  <si>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</si>
  <si>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</si>
  <si>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</si>
  <si>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</si>
  <si>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</si>
  <si>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</si>
  <si>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</si>
  <si>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</si>
  <si>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</si>
  <si>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</si>
  <si>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</si>
  <si>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</si>
  <si>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</si>
  <si>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</si>
  <si>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</si>
  <si>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</si>
  <si>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</si>
  <si>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</si>
  <si>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</si>
  <si>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Colonne1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</si>
  <si>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</si>
  <si>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</si>
  <si>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</si>
  <si>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</si>
  <si>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</si>
  <si>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</si>
  <si>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</si>
  <si>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</si>
  <si>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</si>
  <si>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</si>
  <si>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</si>
  <si>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</si>
  <si>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</si>
  <si>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</si>
  <si>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</si>
  <si>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</si>
  <si>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</si>
  <si>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</si>
  <si>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</si>
  <si>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</si>
  <si>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</si>
  <si>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</si>
  <si>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</si>
  <si>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</si>
  <si>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</si>
  <si>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</si>
  <si>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</si>
  <si>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</si>
  <si>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</si>
  <si>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</si>
  <si>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</si>
  <si>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</si>
  <si>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</si>
  <si>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</si>
  <si>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</si>
  <si>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</si>
  <si>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</si>
  <si>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</si>
  <si>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</si>
  <si>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</si>
  <si>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</si>
  <si>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</si>
  <si>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</si>
  <si>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</si>
  <si>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</si>
  <si>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</si>
  <si>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</si>
  <si>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</si>
  <si>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</si>
  <si>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</si>
  <si>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</si>
  <si>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</si>
  <si>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</si>
  <si>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</si>
  <si>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</si>
  <si>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</si>
  <si>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</si>
  <si>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</si>
  <si>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</si>
  <si>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</si>
  <si>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</si>
  <si>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</si>
  <si>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</si>
  <si>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</si>
  <si>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</si>
  <si>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</si>
  <si>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</si>
  <si>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</si>
  <si>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</si>
  <si>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</si>
  <si>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</si>
  <si>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</si>
  <si>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</si>
  <si>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</si>
  <si>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</si>
  <si>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</si>
  <si>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</si>
  <si>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</si>
  <si>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</si>
  <si>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</si>
  <si>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</si>
  <si>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</si>
  <si>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</si>
  <si>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</si>
  <si>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</si>
  <si>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</si>
  <si>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</si>
  <si>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</si>
  <si>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</si>
  <si>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</si>
  <si>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</si>
  <si>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</si>
  <si>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</si>
  <si>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</si>
  <si>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</si>
  <si>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</si>
  <si>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</si>
  <si>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</si>
  <si>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</si>
  <si>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</si>
  <si>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</si>
  <si>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</si>
  <si>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Montant</t>
  </si>
  <si>
    <t>Prix facturé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</si>
  <si>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</si>
  <si>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</si>
  <si>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</si>
  <si>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</si>
  <si>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</si>
  <si>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</si>
  <si>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</si>
  <si>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</si>
  <si>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</si>
  <si>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</si>
  <si>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</si>
  <si>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Açaï en poudre iofilisée BIO (sachet 250g)</t>
  </si>
  <si>
    <t>Brésil</t>
  </si>
  <si>
    <t>Acai Iofilizado en polvo BIO (env. 250 grs.) ¡¡¡Calidad superior!!! Conservacion refrigerada</t>
  </si>
  <si>
    <t>Brasil</t>
  </si>
  <si>
    <t>X</t>
  </si>
  <si>
    <t>Ail blanc ou violet BIO</t>
  </si>
  <si>
    <t>Malaga</t>
  </si>
  <si>
    <t>Ajo blanco o morado BIO</t>
  </si>
  <si>
    <t>Málaga</t>
  </si>
  <si>
    <t>Algue Chlorella en poudre BIO (paquet 1kg)</t>
  </si>
  <si>
    <t>Inde</t>
  </si>
  <si>
    <t>Alga Chlorella polvo BIO (env. 1 kg.)</t>
  </si>
  <si>
    <t>India</t>
  </si>
  <si>
    <t>❤️</t>
  </si>
  <si>
    <t>Algue Chlorella en poudre BIO (paquet 500g)</t>
  </si>
  <si>
    <t>Alga Chlorella polvo BIO (env. 500 grs.)</t>
  </si>
  <si>
    <t>Algue Dulse déshydratée BIO (paquet 1kg)</t>
  </si>
  <si>
    <t>Irlande</t>
  </si>
  <si>
    <t>Alga Dulse deshidratada BIO (env. 1 kg.)</t>
  </si>
  <si>
    <t>Algue Dulse déshydratée BIO (paquet 500g)</t>
  </si>
  <si>
    <t>Alga Dulse deshidratada BIO (env. 500 grs.)</t>
  </si>
  <si>
    <t>Algue Kombu déshydratées BIO (paquet 1kg)</t>
  </si>
  <si>
    <t>Galice</t>
  </si>
  <si>
    <t>Alga Kombu deshidratada BIO (env. 1 kg.)</t>
  </si>
  <si>
    <t>Galicia</t>
  </si>
  <si>
    <t>Algue Kombu déshydratées BIO (paquet 500g)</t>
  </si>
  <si>
    <t>Alga Kombu deshidratada BIO (env. 500 grs.)</t>
  </si>
  <si>
    <t>Algue Nori entière déshydratées BIO
    - (sachet 1kg)</t>
  </si>
  <si>
    <t>Algue Nori entière déshydratées BIO
    - (sachet 500g)</t>
  </si>
  <si>
    <t>Alga Nori entera deshidratada BIO (env. 500 grs.)</t>
  </si>
  <si>
    <t>Aloe Vera biologique à feuilles fraîches</t>
  </si>
  <si>
    <t>Malagua</t>
  </si>
  <si>
    <t>Aloe Vera hoja fresca BIO (por pieza) ¡¡¡Plantas con más de 40 años!!!</t>
  </si>
  <si>
    <t>Amande Desmayo avec coque</t>
  </si>
  <si>
    <t>Grenade</t>
  </si>
  <si>
    <t>Almendra Desmayo con cáscara de nueva cosecha (cultivo orgánico sin certificar)</t>
  </si>
  <si>
    <t>Granada</t>
  </si>
  <si>
    <t>Amande Lauren avec coque (saveur sucrée)</t>
  </si>
  <si>
    <t>Almendra Lauren con cáscara semimollar.Sabor dulce. Nueva cosecha, local (cultivo orgánico sin certificar)¡¡ Excelente!!</t>
  </si>
  <si>
    <t>Amande sans coque CRU BIO
    - (paquet 1kg)</t>
  </si>
  <si>
    <t>Almendra Comuna cruda sin cáscara BIO (env. 1 kg.)</t>
  </si>
  <si>
    <t>Ananas (mûri sur plante) (env. 2kg)
Super bon, couleur intense, très aromatique</t>
  </si>
  <si>
    <t>Costa Rica</t>
  </si>
  <si>
    <t>Piña madurada en planta (recibida por avión) ¡¡¡Súper buena, color intenso, muy aromática!!!</t>
  </si>
  <si>
    <t>Ananas deshydraté BIO (paquet 1kg)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</si>
  <si>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</si>
  <si>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</si>
  <si>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</si>
  <si>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</si>
  <si>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</si>
  <si>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</si>
  <si>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</si>
  <si>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</t>
  </si>
  <si>
    <t>Aguacate Bacon local (los primeros de la temporada)</t>
  </si>
  <si>
    <t>Avocat Bacon BIO</t>
  </si>
  <si>
    <t>Aguacate Bacon BIO</t>
  </si>
  <si>
    <t>Avocat Hass (début de maturation, tailles diverses) 17 mois</t>
  </si>
  <si>
    <t>Aguacate Hass local (empezando a madurar, varios calibres) ¡¡¡17 meses en árbol!!!</t>
  </si>
  <si>
    <t>x</t>
  </si>
  <si>
    <t>Avocat Hass 17 mois sur l'arbre
    - (dur, fraîchement cueilli, de différentes tailles)</t>
  </si>
  <si>
    <t>Aguacate Hass local (duro, recién cogido, varios calibres) ¡¡¡17 meses en árbol!!!</t>
  </si>
  <si>
    <t>3009.179</t>
  </si>
  <si>
    <t>Avocat Hass, culture naturelle
    - (dur, fraîche, différentes tailles) (17 mois)</t>
  </si>
  <si>
    <t>Aguacate Hass cultivo natural local (duro, recién cogido, varios calibres) ¡¡¡Procedente de finca ecológica sin certificado, 17 meses en árbol!!!</t>
  </si>
  <si>
    <t>Baie de Goji BIO (env. 1kg)</t>
  </si>
  <si>
    <t>Tibet</t>
  </si>
  <si>
    <t>Bayas de Goji BIO (env. 1 kg.)</t>
  </si>
  <si>
    <t>Tíbet</t>
  </si>
  <si>
    <t>Baie de Goji BIO (envi. 500g)</t>
  </si>
  <si>
    <t>Bayas de Goji BIO (env. 500 grs.)</t>
  </si>
  <si>
    <t>Banane carrée (jaune ou verte)</t>
  </si>
  <si>
    <t>Plátano cuadrado local con color (aumenta la disponibilidad y la calidad)</t>
  </si>
  <si>
    <t>Banane Cavendish</t>
  </si>
  <si>
    <t>Plátano Cavendish local (madurado en la planta) ¡¡¡Excelente!!!</t>
  </si>
  <si>
    <t xml:space="preserve">Banane Cavendish BIO </t>
  </si>
  <si>
    <t>Plátano Cavendish BIO (producción propia). Fruta de temporada en el momento de mejor calidad (Finca los Adrianos). Producto no refrigerado. Para su completa maduración necesita ambiente cálido constante</t>
  </si>
  <si>
    <t>Banane deshydratée BIO semi-sèche
    - (paquet 200g)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</si>
  <si>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</si>
  <si>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</si>
  <si>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</si>
  <si>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</si>
  <si>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Betterave en poudre BIO (paquet 1kg)</t>
  </si>
  <si>
    <t>Hongrie</t>
  </si>
  <si>
    <t>Remolacha en polvo BIO (env. 1 kg.)</t>
  </si>
  <si>
    <t>Hungría</t>
  </si>
  <si>
    <t>Betterave en poudre BIO (paquet 500g)</t>
  </si>
  <si>
    <t>Remolacha en polvo BIO (env. 500 grs.)</t>
  </si>
  <si>
    <t>Blette biologique (idéale pour les salades ou les smoothies)</t>
  </si>
  <si>
    <t>Acelga Baby verde BIO producción propia (ideal para ensaladas o batidos)</t>
  </si>
  <si>
    <t>Cacao graine entière pelée CRU BIO
    - (paquet 1kg)</t>
  </si>
  <si>
    <t>Pérou</t>
  </si>
  <si>
    <t>Cacao BIO semilla grano crudo entero (env. 1 kg.)</t>
  </si>
  <si>
    <t>Perú</t>
  </si>
  <si>
    <t>Camu Camu en poudre BIO (paquet 250g)</t>
  </si>
  <si>
    <t>Camu Camu en polvo BIO (env. 250 grs.) Conservacion refrigerada</t>
  </si>
  <si>
    <t>Canne à sucre brune (fruit de la saison)</t>
  </si>
  <si>
    <t>Caña de azúcar negra local (fruto de la estación)</t>
  </si>
  <si>
    <t>Carambole / fruit étoilé</t>
  </si>
  <si>
    <t>Carambola/Star Fruit local</t>
  </si>
  <si>
    <t>Carotte avec fane</t>
  </si>
  <si>
    <t>Zanahoria con rama local</t>
  </si>
  <si>
    <t>Carotte BIO</t>
  </si>
  <si>
    <t>Zanahoria sin rama BIO</t>
  </si>
  <si>
    <t>Carotte sans fane</t>
  </si>
  <si>
    <t>Zanahoria sin rama local</t>
  </si>
  <si>
    <t>Caroube biologique de l'Alpujarra
    - (nouvelle récolte)</t>
  </si>
  <si>
    <t>Algarroba BIO de la Alpujarra (Nueva Cosecha)</t>
  </si>
  <si>
    <t>Celeri vert</t>
  </si>
  <si>
    <t>Apio verde local</t>
  </si>
  <si>
    <t>Céleri vert BIO</t>
  </si>
  <si>
    <t>Apio verde BIO</t>
  </si>
  <si>
    <t>Chia BIO (paquet 1kg)</t>
  </si>
  <si>
    <t>Bolivie</t>
  </si>
  <si>
    <t>Chía semillas BIO (env. 1 kg.)</t>
  </si>
  <si>
    <t>Bolivia</t>
  </si>
  <si>
    <t>Chips de coco CRU BIO (paquet 1kg)</t>
  </si>
  <si>
    <t>Sri Lanka</t>
  </si>
  <si>
    <t>Chips de coco crudo BIO (env. 1 kg.)</t>
  </si>
  <si>
    <t>Chirimoya (Nouvelle saison)</t>
  </si>
  <si>
    <t>Chirimoya local (Campa y Fino de Jete). Piezas grandes, nueva temporada</t>
  </si>
  <si>
    <t>Chirimoya en RECONVERSION BIO
    - (nouvelle saison)</t>
  </si>
  <si>
    <t>Chirimoya en RECONVERSIÓN a la agricultura ecológica (produción propia, nueva temporada)</t>
  </si>
  <si>
    <t>Chou vert BIO</t>
  </si>
  <si>
    <t>Col verde lisa BIO</t>
  </si>
  <si>
    <t>Citron Caviar
    - (culture naturelle, plateau de 200g)</t>
  </si>
  <si>
    <t>Salobrena</t>
  </si>
  <si>
    <t>Caviar cítrico/citrus australasica local, piezas de 0,10/0,15 grs., cultivo natural .Precio por bandeja de 200 grs.</t>
  </si>
  <si>
    <t>OFFRE</t>
  </si>
  <si>
    <t>Citron Caviar
    - (culture naturelle, plateau de 500g)</t>
  </si>
  <si>
    <t>Caviar cítrico/citrus australasica local, piezas de 0,10/0,15 grs., cultivo natural (precio por bandeja de 500 grs.)</t>
  </si>
  <si>
    <t>Citron caviar/citron australasica BIO, en morceaux de 0,10/0,15 g (par plateau de 500 grs)</t>
  </si>
  <si>
    <t>Caviar cítrico/citrus australasica BIO, piezas de 0,10/0,15 grs. (precio por bandeja de 500 grs.)</t>
  </si>
  <si>
    <t>Citron caviar/citron australasica BIO, en morceaux de 0,10/0,15 g (plateau de 200 grs)</t>
  </si>
  <si>
    <t>Caviar cítrico/citrus australasica BIO, piezas de 0,10/0,15 grs. (precio por bandeja de 200 grs.)</t>
  </si>
  <si>
    <t>Citron jaune (mûri sur l'arbre)</t>
  </si>
  <si>
    <t>Limón local amarillo (madurado en el árbol). Poca cantidad</t>
  </si>
  <si>
    <t>Citron jaune BIO (seconde catégorie)</t>
  </si>
  <si>
    <t>Limón BIO de 2ª categoría</t>
  </si>
  <si>
    <t>Citron jaune Verna BIO (grand/moyen format)</t>
  </si>
  <si>
    <t>Limón Verna BIO calibre grande, madurado en  planta</t>
  </si>
  <si>
    <t>Citron vert</t>
  </si>
  <si>
    <t>Lima verde local</t>
  </si>
  <si>
    <t>Citron vert Variété indienne BIO
    - (récolté avec de la couleur)</t>
  </si>
  <si>
    <t>Lima verde BIO</t>
  </si>
  <si>
    <t xml:space="preserve">Citronnelle RECONVERSION BIO
    - (bouquet de 5 tiges) </t>
  </si>
  <si>
    <t>Citronela local (producción propia)cultivo orgánico en Finca certificada pero hemos olvidado darla de alta en el certificado ecológica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</si>
  <si>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</si>
  <si>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</si>
  <si>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</si>
  <si>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</si>
  <si>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</si>
  <si>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</si>
  <si>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</si>
  <si>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</si>
  <si>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Crackers déshydratés CRU BIO
    - (tomate, tournesol, sarrasin, lin, oignons, moringa) (paquet 200g)</t>
  </si>
  <si>
    <t>Espagne</t>
  </si>
  <si>
    <t>Crackers deshidratados BIO de tomate, pipa de girasol, trigo sarraceno, lino, cebolla y moringa de cultivo ecológico (env. 200 grs.) RAW</t>
  </si>
  <si>
    <t>Nacional</t>
  </si>
  <si>
    <t>Curcuma frais BIO (paquet 500g)</t>
  </si>
  <si>
    <t>Cúrcuma fresca BIO (pedido mínimo 500 grs.)</t>
  </si>
  <si>
    <t>Date de Bahri fraîche</t>
  </si>
  <si>
    <t>Israël</t>
  </si>
  <si>
    <t>Dátil Bahri fresco</t>
  </si>
  <si>
    <t>Israel</t>
  </si>
  <si>
    <t>Dattes Deglet Nour en ravier BIO</t>
  </si>
  <si>
    <t>Dátil Deglet Nour en rama de Israel BIO</t>
  </si>
  <si>
    <t>Dattes Deglet sans noyau BIO</t>
  </si>
  <si>
    <t>Tunisie</t>
  </si>
  <si>
    <t>Dátil Deglet sin hueso BIO</t>
  </si>
  <si>
    <t>Túnez</t>
  </si>
  <si>
    <t>Dattes Mazafati de Bam BIO</t>
  </si>
  <si>
    <t>Iran</t>
  </si>
  <si>
    <t>Datil Mazafati de Bam BIO nueva cosecha (env. 250 grs.)</t>
  </si>
  <si>
    <t>Irán</t>
  </si>
  <si>
    <t>1997</t>
  </si>
  <si>
    <t>Dattes Medjool semi-sèche BIO</t>
  </si>
  <si>
    <t>Dátil Medjool Súper Jumbo semi-seco BIO</t>
  </si>
  <si>
    <t>Eau de mer micro-filtrée hypertonique
    - (n°1 : box 3L)</t>
  </si>
  <si>
    <t>Ibiza</t>
  </si>
  <si>
    <t>Agua de mar micro-filtrada hipertónica (bag in box 3 litros)</t>
  </si>
  <si>
    <t>Mar Mediterráneo (Ibiza)</t>
  </si>
  <si>
    <t>Eau de mer micro-filtrée hypertonique
    - (n°2 : box 11L)</t>
  </si>
  <si>
    <t>Agua de mar micro-filtrada hipertónica (bag in box 11 litros)</t>
  </si>
  <si>
    <t>Eau de mer micro-filtrée hypertonique
    - (n°3 : box 20L)</t>
  </si>
  <si>
    <t>Agua de mar micro-filtrada hipertónica (bag in box 20 litros)</t>
  </si>
  <si>
    <t>Epi de maïs doux frais</t>
  </si>
  <si>
    <t>Mazorca maiz dulce fresca (piezas grandes y jugosas)</t>
  </si>
  <si>
    <t>Extracteur de jus ANGEL 5500</t>
  </si>
  <si>
    <t>Union européenne</t>
  </si>
  <si>
    <t>Extractor de zumo ANGEL JUICER Cool Press 5500 Luxury</t>
  </si>
  <si>
    <t>Unión Europea</t>
  </si>
  <si>
    <t>Fenugrec en graines BIO (paquet 500g)</t>
  </si>
  <si>
    <t>Égypte</t>
  </si>
  <si>
    <t>Fenogreco en semillas BIO (env. 500 grs.)</t>
  </si>
  <si>
    <t>Egipto</t>
  </si>
  <si>
    <t>Figue Coup de Dame semi sèche
    - (nouvelle récolte 2020)</t>
  </si>
  <si>
    <t>Castillle/Leon</t>
  </si>
  <si>
    <t>Higo Cuello de Dama semi-seco (nueva cosecha 2020). Cultivo orgánico sin certificar</t>
  </si>
  <si>
    <t>Castillla/León</t>
  </si>
  <si>
    <t>Figue de Barbarie</t>
  </si>
  <si>
    <t>Higo chumbo local ¡¡ máxima calidad!!</t>
  </si>
  <si>
    <t xml:space="preserve">Figue demi-sèche au miel biologique de l'Alpujarra (grand) </t>
  </si>
  <si>
    <t>Higo de miel semi-seco de la Alpujarra BIO (grande) ¡¡¡Excelente y especial!!!</t>
  </si>
  <si>
    <t>❤️ OFFRE</t>
  </si>
  <si>
    <t xml:space="preserve">Figue demi-sèche au miel biologique de l'Alpujarra (grand) 375 grs </t>
  </si>
  <si>
    <t>Higo de miel semi-seco de la Alpujarra BIO (grande) env. 375 grs. cristal ¡¡¡Excelente y especial!!!</t>
  </si>
  <si>
    <t>375g</t>
  </si>
  <si>
    <t>3540-3539-5031</t>
  </si>
  <si>
    <t>Figue fraiche</t>
  </si>
  <si>
    <t>Higo fresco local (poca cantidad)</t>
  </si>
  <si>
    <t>1972-1615</t>
  </si>
  <si>
    <t>Figue fraîche BIO</t>
  </si>
  <si>
    <t>Higo fresco BIO (negro Brown Turkey y Verde granadino) ¡¡¡Excelente!!!</t>
  </si>
  <si>
    <t>Figue Grain semi sèche (nouvelle récolte 2020)</t>
  </si>
  <si>
    <t>Higo granillo semi-seco (nueva cosecha 2020). Cultivo orgánico sin certificar</t>
  </si>
  <si>
    <t>Castillla
León</t>
  </si>
  <si>
    <t>Figue semi-sèche biologique au miel d'Alpujarra  
    - (moyenne)</t>
  </si>
  <si>
    <t>Higo de miel semi-seco de la Alpujarra BIO (mediano) ¡¡¡Excelente y especial!!!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</si>
  <si>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</si>
  <si>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</si>
  <si>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</si>
  <si>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</si>
  <si>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</si>
  <si>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</si>
  <si>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</si>
  <si>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</si>
  <si>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</si>
  <si>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</si>
  <si>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</si>
  <si>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</si>
  <si>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Graines de chanvre crues pelées BIO
    - (paquet 500g)</t>
  </si>
  <si>
    <t>Semillas de cáñamo pelado crudo BIO (env. 500 grs.)</t>
  </si>
  <si>
    <t>Graines de chanvre crues pelées BIO
    - (paquet de 1 kg)</t>
  </si>
  <si>
    <t>Semillas de cáñamo pelado crudo BIO (env. 1 kg.)</t>
  </si>
  <si>
    <t>Grenada</t>
  </si>
  <si>
    <t>Granada local</t>
  </si>
  <si>
    <t>Grenade BIO</t>
  </si>
  <si>
    <t>Granada BIO</t>
  </si>
  <si>
    <t>Huile d'olive Aloreña 5L BIO</t>
  </si>
  <si>
    <t>Aceite de oliva BIO variedad Aloreña (lata 5 litros)</t>
  </si>
  <si>
    <t>Jujube</t>
  </si>
  <si>
    <t>Azufaifo local</t>
  </si>
  <si>
    <t>3601-5043-3261</t>
  </si>
  <si>
    <t>Kaki différentes variétés</t>
  </si>
  <si>
    <t>Kaki diferentes varidades local (persimon, brillante...)</t>
  </si>
  <si>
    <t>Kaki Fuyu</t>
  </si>
  <si>
    <t>Kaki Fuyu local</t>
  </si>
  <si>
    <t>Kaki Fuyu BIO</t>
  </si>
  <si>
    <t xml:space="preserve">Kiwano </t>
  </si>
  <si>
    <t>Kiwano local</t>
  </si>
  <si>
    <t>Kiwi</t>
  </si>
  <si>
    <t>Nouvelle
Zélande</t>
  </si>
  <si>
    <t>Nueva Zelanda</t>
  </si>
  <si>
    <t>Kiwi Sun Gold</t>
  </si>
  <si>
    <t xml:space="preserve">Kiwi Sun Gold </t>
  </si>
  <si>
    <t>1020-1961</t>
  </si>
  <si>
    <t>Kiwi Zespri BIO</t>
  </si>
  <si>
    <t>Nouvelle Zélande</t>
  </si>
  <si>
    <t>Lait de coco en poudre BIO CRU (1kg)</t>
  </si>
  <si>
    <t>Leche de coco en polvo 100% cruda BIO (env. 1 kg.)</t>
  </si>
  <si>
    <t>Lait de coco en poudre BIO CRU (500g)</t>
  </si>
  <si>
    <t>Leche de coco en polvo 100% cruda BIO (env. 500 grs.)</t>
  </si>
  <si>
    <t>Lin marron BIO (sachet de 500g)</t>
  </si>
  <si>
    <t>Lino marrón BIO (env. 500 grs.)</t>
  </si>
  <si>
    <t>Lucuma cru en poudre BIO
    - (sachet de 1 kg)</t>
  </si>
  <si>
    <t>Lúcuma cruda en polvo BIO (env. 1 kg.)</t>
  </si>
  <si>
    <t>Maca brute en poudre BIO (paquet 1kg)</t>
  </si>
  <si>
    <t>Maca en polvo cruda BIO (env. 1 kg.)</t>
  </si>
  <si>
    <t>Maca brute en poudre BIO (paquet 500g)</t>
  </si>
  <si>
    <t>Maca en polvo cruda BIO (env. 500 grs.)</t>
  </si>
  <si>
    <t>Maca noire BIO (env. 1kg)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</si>
  <si>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</si>
  <si>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</si>
  <si>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</si>
  <si>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</si>
  <si>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</si>
  <si>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Mandarine Marisol</t>
  </si>
  <si>
    <t>Mandarina Marisol local</t>
  </si>
  <si>
    <t>Mangue Bandai BIO</t>
  </si>
  <si>
    <t>Mango Bandai BIO</t>
  </si>
  <si>
    <t xml:space="preserve">Mangue Glen </t>
  </si>
  <si>
    <t>Mango Glen local</t>
  </si>
  <si>
    <t>Mangue gourmande Irwin déshydratée à basse température. Brut. En tranches</t>
  </si>
  <si>
    <t>Mango Irwin gourmet deshidratado a  baja temperatura. Crudo. En laminas</t>
  </si>
  <si>
    <t>Mangue Haden</t>
  </si>
  <si>
    <t>Mango Haden local</t>
  </si>
  <si>
    <t>Mangue Haden BIO</t>
  </si>
  <si>
    <t>Mango Haden BIO</t>
  </si>
  <si>
    <t>Mangue Irwin (grande)</t>
  </si>
  <si>
    <t>Mango Irwin local (grande)</t>
  </si>
  <si>
    <t>Mangue Keitt BIO</t>
  </si>
  <si>
    <t>Mango Keitt BIO</t>
  </si>
  <si>
    <t>Mangue Kensington</t>
  </si>
  <si>
    <t>Mango Kensington local (aromas de limón)</t>
  </si>
  <si>
    <t>Mangue Kent Bio (légères brûlures superficielles à côté de la tige produites par le soleil, pulpe parfaite)</t>
  </si>
  <si>
    <t>Mango Kent BIO (ligeras quemaduras superficiales al lado del pedúnculo producidas por el sol, pulpa perfecta). Finca con certificado ecológico desde 1985 ¡¡¡Oferta!!!</t>
  </si>
  <si>
    <t>Mangue Kent BIO Qualité supérieure</t>
  </si>
  <si>
    <t>Mango Kent BIO ¡¡¡Primera calidad, excelente!!!</t>
  </si>
  <si>
    <t>Mangue Kent Gourmet BIO</t>
  </si>
  <si>
    <t>Mango Kent Gourmet BIO</t>
  </si>
  <si>
    <t>Mangue Lipens</t>
  </si>
  <si>
    <t>Mango Lipens local ¡¡¡Excelente!!!</t>
  </si>
  <si>
    <t>Mangue Lipens BIO</t>
  </si>
  <si>
    <t>Mango Lipens BIO</t>
  </si>
  <si>
    <t>Mangue Lipens, gourmet (une explosion de jus et de saveur incroyable lorsqu'elle a terminé sa maturation et sa couleur de peau jaune)</t>
  </si>
  <si>
    <t>Mango Lipens gourmet local (una explosión de jugo y sabor increible cuando ha culminado su maduración y color amarillo en la piel)***********</t>
  </si>
  <si>
    <t>Mangue mini gourmet Osteen BIO</t>
  </si>
  <si>
    <t>Mango Osteen mini gourmet BIO</t>
  </si>
  <si>
    <t>3190. 658</t>
  </si>
  <si>
    <t>Mangue Osteen (Ferme Eparadise) Sélection maximale, mûrie sur l'arbre et récoltée quotidiennement!!</t>
  </si>
  <si>
    <t>Mango Osteen  finca EParadise (certificado Global Gap) ¡¡¡Máxima selección, madurado en el árbol y recolectado a diario!!!</t>
  </si>
  <si>
    <t>Mangue Osteen BIO (Imperfection sur la peau, tâche noir proche de la tige)</t>
  </si>
  <si>
    <t>Mango Osteen BIO (ligeras quemaduras superficiales al lado del pedúnculo producidas por el sol, pulpa perfecta). Finca con certificado ecológico desde 1985 ¡¡¡Oferta!!!</t>
  </si>
  <si>
    <t>Mangue Osteen BIO (qualité supérieur)</t>
  </si>
  <si>
    <t>Mango Osteen BIO. Primera calidad. Madurado en la planta</t>
  </si>
  <si>
    <t>Mangue Palmer Rouge BIO</t>
  </si>
  <si>
    <t>Mango Palmer Rojo BIO</t>
  </si>
  <si>
    <t xml:space="preserve">Mangue Pico de Loro </t>
  </si>
  <si>
    <t>Mango Pico de Loro local</t>
  </si>
  <si>
    <t>Mangue rouge Palmer semi-sèche déshydratée de fabrication artisanale (sachet 500g)</t>
  </si>
  <si>
    <t>Mango deshidratado semi-seco artesanal Palmer rojo de Brasil (env. 500 grs.)</t>
  </si>
  <si>
    <t>Mangue Sensación</t>
  </si>
  <si>
    <t>Mango Sensación local</t>
  </si>
  <si>
    <t xml:space="preserve">Mangue Super Haden </t>
  </si>
  <si>
    <t>Mango Súper Haden local</t>
  </si>
  <si>
    <t xml:space="preserve">Mangue Zill </t>
  </si>
  <si>
    <t>Mango Zill local</t>
  </si>
  <si>
    <t>Mangue Zill BIO</t>
  </si>
  <si>
    <t>Mango Zill BIO</t>
  </si>
  <si>
    <t>Melon Galia</t>
  </si>
  <si>
    <t>Melón Galia local ¡¡¡Muy aromático y dulce!!!</t>
  </si>
  <si>
    <t>Melon Galia BIO (très aromatique et doux!!)</t>
  </si>
  <si>
    <t>Melón Galia BIO ¡¡¡Muy aromático y dulce!!!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</si>
  <si>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</si>
  <si>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</si>
  <si>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</si>
  <si>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</si>
  <si>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</si>
  <si>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</si>
  <si>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</si>
  <si>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</si>
  <si>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d'avocat (bocal en verre 1L)</t>
  </si>
  <si>
    <t>Miel de aguacate (env. 1 kg.)</t>
  </si>
  <si>
    <t>Miel de Fleur d'oranger (bocal en verre 1L)</t>
  </si>
  <si>
    <t>Miel de azahar (env. 1 kg.)</t>
  </si>
  <si>
    <t>Miel de Huelva multifleurs sans filtration CRU BIO  
    - (bocal en verre 1L)</t>
  </si>
  <si>
    <t>Huelva</t>
  </si>
  <si>
    <t>Miel Huelva multiflora BIO cruda sin filtrar (env. 1 kg.)</t>
  </si>
  <si>
    <t>Miel de montagne (bocal en verre 1L)</t>
  </si>
  <si>
    <t>Miel de montaña (env. 1 kg)</t>
  </si>
  <si>
    <t>Miel de Romarin (bocal en verre 1L)</t>
  </si>
  <si>
    <t>Miel de romero (env. 1 kg.)</t>
  </si>
  <si>
    <t>Miel d'eucalyptus BIO (bocal en verre 1L)</t>
  </si>
  <si>
    <t>Miel de eucalipto BIO (env. 1 kg.)</t>
  </si>
  <si>
    <t>Miel Multi-fleurs (bocal en verre 1L)</t>
  </si>
  <si>
    <t>Miel multiflora (env. 1 kg.)</t>
  </si>
  <si>
    <t>Nectarine BigTop</t>
  </si>
  <si>
    <t>National</t>
  </si>
  <si>
    <t>Nectarina BigTop</t>
  </si>
  <si>
    <t>Noisette sans coque CRU BIO (sachet 1kg)</t>
  </si>
  <si>
    <t>Avellana cruda BIO sin cáscara (env. 1 kg.)</t>
  </si>
  <si>
    <t>Noix de cajou BIO (sachet 1kg)</t>
  </si>
  <si>
    <t>Indes</t>
  </si>
  <si>
    <t>Anacardo crudo BIO (env. 1 kg.)</t>
  </si>
  <si>
    <t>1816</t>
  </si>
  <si>
    <t>Noix de Macadamia sans coque BIO
    - (paquet 1kg)</t>
  </si>
  <si>
    <t>Kenya</t>
  </si>
  <si>
    <t>Nuez de Macadamia sin cáscara BIO  (env. 1 kg.)</t>
  </si>
  <si>
    <t>Kenia</t>
  </si>
  <si>
    <t>Noix de Macadamia sans coque BIO
    - (paquet 500g)</t>
  </si>
  <si>
    <t>Nuez de Macadamia sin cáscara BIO (env. 500 grs.)</t>
  </si>
  <si>
    <t>Noix de Pécan sans coque BIO (paquet 1kg)</t>
  </si>
  <si>
    <t>Mexique</t>
  </si>
  <si>
    <t>Nuez Pecana sin cáscara BIO  (env. 1 kg.)</t>
  </si>
  <si>
    <t>Mexico</t>
  </si>
  <si>
    <t>Noix de Pécan sans coque BIO (paquet 500g)</t>
  </si>
  <si>
    <t>Nuez Pecana sin cáscara BIO (env. 500 grs.)</t>
  </si>
  <si>
    <t>Oignon blanc BIO</t>
  </si>
  <si>
    <t>Cebolla blanca seca BIO</t>
  </si>
  <si>
    <t>Oignon rouge BIO</t>
  </si>
  <si>
    <t>Cebolla roja BIO</t>
  </si>
  <si>
    <t>Olives Aloreña biologiques avec vinaigrette, non pasteurisées (800g)</t>
  </si>
  <si>
    <t>Aceituna Aloreña aliñada BIO (env.800 grs.)</t>
  </si>
  <si>
    <t>Olives fermentées biologiques non pasteurisées (bocal de verre de 450g) [Différents types : fraîches, demi-sèches, sèches, ...au choix (sans sel, sans eau et sans autres ajouts)]</t>
  </si>
  <si>
    <t>Valence</t>
  </si>
  <si>
    <t>Aceituna fermentada BIO (bote cristal 450 grs.) Varios tipos: frescas, semi-secas, secas, ...a elección (sin sal y sin ningún otro complemento)</t>
  </si>
  <si>
    <t>Valencia</t>
  </si>
  <si>
    <t xml:space="preserve">Olives noires biologiques sans noyau, semi-séchées, non pasteurisées
(Paquet de 500g) </t>
  </si>
  <si>
    <t>Aceituna negra s/hueso semi-seca BIO (env. 500 grs.)</t>
  </si>
  <si>
    <t>Olives vertes Gordal Manzanilla fraîches</t>
  </si>
  <si>
    <t>Aceituna Manzanilla verde Gordal fresca local</t>
  </si>
  <si>
    <t>5117-3073</t>
  </si>
  <si>
    <t>Orange Navelate / Valencialate</t>
  </si>
  <si>
    <t>Naranja Navelate/Valencialate (cosecha actual en su lugar de origen)</t>
  </si>
  <si>
    <t>3073.135</t>
  </si>
  <si>
    <t>Orange Valencialate</t>
  </si>
  <si>
    <t>Naranja Valencialate local</t>
  </si>
  <si>
    <t>Pamplemousse Etoile de Ruby BIO</t>
  </si>
  <si>
    <t>Afrique du sud</t>
  </si>
  <si>
    <t>Pomelo Star Ruby BIO</t>
  </si>
  <si>
    <t>South Africa</t>
  </si>
  <si>
    <t>Pamplemousse Start Ruby</t>
  </si>
  <si>
    <t>Afrique
du Sud</t>
  </si>
  <si>
    <t>Pomelo Star Ruby</t>
  </si>
  <si>
    <t>3694-3006</t>
  </si>
  <si>
    <t>Papaye Intenzza/Siluet (rouge à l'intérieur)</t>
  </si>
  <si>
    <t>Papaya Intenzza/Siluet local ¡¡¡Roja por dentro y sabor excelente!!! ¡¡¡Súper oferta!!!</t>
  </si>
  <si>
    <t>Patate douce BIO (grand)</t>
  </si>
  <si>
    <t>Boniato BIO (grande)</t>
  </si>
  <si>
    <t>Patate douce BIO (moyenne)</t>
  </si>
  <si>
    <t>Boniato BIO (mediano)</t>
  </si>
  <si>
    <t>Patate douce déshydratée (paquet 200g)</t>
  </si>
  <si>
    <t>Boniato deshidratado producción propia (env. 200 grs.)</t>
  </si>
  <si>
    <t>Patate Douce Violette BIO (petite)</t>
  </si>
  <si>
    <t>Boniato violeta BIO (pequeño)</t>
  </si>
  <si>
    <t>5106-3735-3533</t>
  </si>
  <si>
    <t>Piment frais Rouge/Vert/Jaune</t>
  </si>
  <si>
    <t>Guindilla fresca picante amarilla/roja/verde local</t>
  </si>
  <si>
    <t>3757-3987</t>
  </si>
  <si>
    <t>Pitahaya différentes variétés (rouge, blanche, violette (grand)</t>
  </si>
  <si>
    <t>Pitahaya de diferentes colores (roja, blanca, violeta) local (grande) ¡¡¡Especial!!!</t>
  </si>
  <si>
    <t xml:space="preserve">Poire Conférence  </t>
  </si>
  <si>
    <t>Pera Conferencia</t>
  </si>
  <si>
    <t>Poire Conférence BIO</t>
  </si>
  <si>
    <t>Pera Conferencia BIO</t>
  </si>
  <si>
    <t>Poire Ercolina</t>
  </si>
  <si>
    <t>Pera Ercolina local (fruta en plena temporada)</t>
  </si>
  <si>
    <t>Poireau BIO</t>
  </si>
  <si>
    <t>Puerro BIO</t>
  </si>
  <si>
    <t>Poivron mini en couleur</t>
  </si>
  <si>
    <t>Pimiento mini dulce de colores local</t>
  </si>
  <si>
    <t>Poivron rouge Ramiro BIO</t>
  </si>
  <si>
    <t>Pimiento Rojo Ramiro BIO</t>
  </si>
  <si>
    <t>Polen Frais BIO (paquet 500g)</t>
  </si>
  <si>
    <t>Cordoue</t>
  </si>
  <si>
    <t>Polen fresco BIO (env. 500 grs.)</t>
  </si>
  <si>
    <t>1564</t>
  </si>
  <si>
    <t>Polen sec BIO (paquet 500g)</t>
  </si>
  <si>
    <t>Polen seco BIO (env. 500 grs.)</t>
  </si>
  <si>
    <t>Pomme de terre rouge BIO</t>
  </si>
  <si>
    <t>Patata roja BIO</t>
  </si>
  <si>
    <t>Pomme Fuji locale de la Sierra</t>
  </si>
  <si>
    <t>Manzana Fuji local de la Sierra</t>
  </si>
  <si>
    <t>5124-3852</t>
  </si>
  <si>
    <t>Pomme Golden (Nouvelle récolte!!)</t>
  </si>
  <si>
    <t>Manzana Golden local de la Sierra (nueva cosecha)</t>
  </si>
  <si>
    <t>Pomme Reineta Sierra Nevada</t>
  </si>
  <si>
    <t>Manzana Reineta local Sierra Nevada</t>
  </si>
  <si>
    <t>Pomme rouge Starky Sierra Nevada</t>
  </si>
  <si>
    <t>Manzana Starky roja local Sierra Nevada</t>
  </si>
  <si>
    <t>Pomme rouge Top Sierra Nevada</t>
  </si>
  <si>
    <t>Manzana roja Top Red local de Sierra Nevada</t>
  </si>
  <si>
    <t>Radis Daikon</t>
  </si>
  <si>
    <t>Rábano Daikon</t>
  </si>
  <si>
    <t>Raisin blanc italien avec des pépins BIO</t>
  </si>
  <si>
    <t>Uva blanca italiana con semillas BIO</t>
  </si>
  <si>
    <t>Raisin Muscat Blanc</t>
  </si>
  <si>
    <t>Uva Moscatel blanca</t>
  </si>
  <si>
    <t>Raisin noir d'automne Royal sans pépins BIO</t>
  </si>
  <si>
    <t>Uva negra Autum Royal sin semillas BIO</t>
  </si>
  <si>
    <t>Raisin rouge crimson biologique</t>
  </si>
  <si>
    <t>Uva Crimson roja BIO</t>
  </si>
  <si>
    <t>Raisin sec Sultana BIO
    - (paquet 1kg)</t>
  </si>
  <si>
    <t>Uva pasa Sultana BIO (env. 1 kg.)</t>
  </si>
  <si>
    <t>Raisins secs Muscat en grains
    - (paquet 500g)</t>
  </si>
  <si>
    <t>Uva pasa Moscatel en grano (nueva cosecha)en env. de 500 grs</t>
  </si>
  <si>
    <t>Sel rose de l'Himalaya moulu
    - (sachet 1kg)</t>
  </si>
  <si>
    <t>Pakistan</t>
  </si>
  <si>
    <t>Sal del Himalaya molida (env. 1 kg.)</t>
  </si>
  <si>
    <t>Pakistán</t>
  </si>
  <si>
    <t>Sésame CRU BIO (sachet 1kg)</t>
  </si>
  <si>
    <t>Paraguay/ Egypte</t>
  </si>
  <si>
    <t>Sésamo crudo BIO (env. 1 kg.)</t>
  </si>
  <si>
    <t>Paraguay/Egipto</t>
  </si>
  <si>
    <t>Souchet BIO (sachet 1kg)</t>
  </si>
  <si>
    <t>Chufa BIO (env. 1 kg.)</t>
  </si>
  <si>
    <t>Importacion</t>
  </si>
  <si>
    <t>Spaguetti de mer déshydraté BIO</t>
  </si>
  <si>
    <t>Alga Espagueti de mar deshidratada BIO (env. 500 grs.)</t>
  </si>
  <si>
    <t>Alga Espagueti de mar deshidratada BIO (env. 1 kg.)</t>
  </si>
  <si>
    <t>Spiruline en poudre BIO (sachet 1kg)</t>
  </si>
  <si>
    <t>Spirulina en polvo BIO (env. 1 kg.)</t>
  </si>
  <si>
    <t>Spiruline en poudre BIO (sachet 500g)</t>
  </si>
  <si>
    <t>Spirulina en polvo BIO (env. 500 grs.)</t>
  </si>
  <si>
    <t>Sucre de coco BIO (paquet 1kg)</t>
  </si>
  <si>
    <t>Indonésie</t>
  </si>
  <si>
    <t>Azúcar de coco BIO (env. 1 kg.)</t>
  </si>
  <si>
    <t>Indonesia</t>
  </si>
  <si>
    <t>Tomate déshydratée BIO CRU Déshydratées à basse température 35º, qualité supérieure!!</t>
  </si>
  <si>
    <t>Tomate seco BIO laminado (env. 200 grs.) ¡¡¡Deshidratado a baja temperatura 35º, calidad superior!!! RAW</t>
  </si>
  <si>
    <t>Tomate seco BIO laminado (env. 1 kg.) ¡¡¡Deshidratado a baja temperatura 35º, calidad superior!!! RAW</t>
  </si>
  <si>
    <t>71_MACON</t>
  </si>
  <si>
    <t>Mercier</t>
  </si>
  <si>
    <t>Bernard</t>
  </si>
  <si>
    <t xml:space="preserve">39, chemin des Vergers </t>
  </si>
  <si>
    <t>Pressiat</t>
  </si>
  <si>
    <t>01370</t>
  </si>
  <si>
    <t>Val-Revermont</t>
  </si>
  <si>
    <t>0630088885</t>
  </si>
  <si>
    <t>16/10/2020</t>
  </si>
  <si>
    <t>Chavannes sur Reysouze</t>
  </si>
  <si>
    <t>01190</t>
  </si>
  <si>
    <t>Bernard Mercier</t>
  </si>
  <si>
    <t>Mercier Bernard</t>
  </si>
  <si>
    <t>0 kaki dans la commande</t>
  </si>
  <si>
    <t>FDP Facturé</t>
  </si>
  <si>
    <t>Autre</t>
  </si>
  <si>
    <t>Otro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</si>
</sst>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39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17">
    <xf numFmtId="0" fontId="0" fillId="0" borderId="0" xfId="0"/>
    <xf numFmtId="0" fontId="1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15" borderId="20" xfId="0" applyFill="1" applyBorder="1" applyAlignment="1">
      <alignment horizontal="center" vertical="center"/>
    </xf>
    <xf numFmtId="44" fontId="0" fillId="0" borderId="21" xfId="4" applyFont="1" applyBorder="1" applyAlignment="1">
      <alignment horizontal="center" vertical="center"/>
    </xf>
    <xf numFmtId="44" fontId="0" fillId="0" borderId="0" xfId="4" applyFont="1"/>
    <xf numFmtId="7" fontId="37" fillId="0" borderId="0" xfId="4" applyNumberFormat="1" applyFont="1" applyFill="1" applyBorder="1" applyAlignment="1">
      <alignment horizontal="center" vertical="center" wrapText="1"/>
    </xf>
    <xf numFmtId="44" fontId="0" fillId="0" borderId="0" xfId="4" applyNumberFormat="1" applyFont="1"/>
    <xf numFmtId="0" fontId="33" fillId="13" borderId="0" xfId="0" applyFont="1" applyFill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0" xfId="0" applyNumberFormat="1" applyFont="1" applyFill="1" applyBorder="1" applyAlignment="1">
      <alignment horizontal="left" vertical="center" wrapText="1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0" fontId="0" fillId="12" borderId="19" xfId="0" applyFill="1" applyBorder="1" applyAlignment="1">
      <alignment horizontal="center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49" fontId="14" fillId="5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63">
    <dxf>
      <fill>
        <patternFill>
          <bgColor theme="6"/>
        </patternFill>
      </fill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4" formatCode="_-* #,##0.00\ &quot;€&quot;_-;\-* #,##0.00\ &quot;€&quot;_-;_-* &quot;-&quot;??\ &quot;€&quot;_-;_-@_-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3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17</xdr:row>
          <xdr:rowOff>190500</xdr:rowOff>
        </xdr:from>
        <xdr:to>
          <xdr:col>12</xdr:col>
          <xdr:colOff>2543175</xdr:colOff>
          <xdr:row>24</xdr:row>
          <xdr:rowOff>85725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3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3</xdr:row>
          <xdr:rowOff>133350</xdr:rowOff>
        </xdr:from>
        <xdr:to>
          <xdr:col>16</xdr:col>
          <xdr:colOff>685800</xdr:colOff>
          <xdr:row>7</xdr:row>
          <xdr:rowOff>123825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28575</xdr:colOff>
          <xdr:row>8</xdr:row>
          <xdr:rowOff>114300</xdr:rowOff>
        </xdr:from>
        <xdr:to>
          <xdr:col>16</xdr:col>
          <xdr:colOff>676275</xdr:colOff>
          <xdr:row>12</xdr:row>
          <xdr:rowOff>104775</xdr:rowOff>
        </xdr:to>
        <xdr:sp macro="" textlink="">
          <xdr:nvSpPr>
            <xdr:cNvPr id="13315" name="CommandButton2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7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7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7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590550</xdr:colOff>
          <xdr:row>0</xdr:row>
          <xdr:rowOff>114300</xdr:rowOff>
        </xdr:from>
        <xdr:to>
          <xdr:col>14</xdr:col>
          <xdr:colOff>561975</xdr:colOff>
          <xdr:row>5</xdr:row>
          <xdr:rowOff>152400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723900</xdr:colOff>
          <xdr:row>8</xdr:row>
          <xdr:rowOff>133350</xdr:rowOff>
        </xdr:from>
        <xdr:to>
          <xdr:col>14</xdr:col>
          <xdr:colOff>714375</xdr:colOff>
          <xdr:row>13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ho/Desktop/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10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15.811999999999999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M201" totalsRowShown="0" headerRowDxfId="62" dataDxfId="61">
  <autoFilter ref="A1:M201" xr:uid="{B686013E-2491-467B-899A-1AE7769269FA}"/>
  <sortState xmlns:xlrd2="http://schemas.microsoft.com/office/spreadsheetml/2017/richdata2" ref="A2:L199">
    <sortCondition ref="B1:B199"/>
  </sortState>
  <tableColumns count="13">
    <tableColumn id="1" xr3:uid="{929E70A4-3DC2-476E-BAF0-384BB4C08B8F}" name="CODE" dataDxfId="60"/>
    <tableColumn id="2" xr3:uid="{79C0F8F2-19F7-4FE3-8EF4-0EA164562E4F}" name="DESIGNATION" dataDxfId="59"/>
    <tableColumn id="3" xr3:uid="{791634A2-A0AF-4C3F-A30A-825BCA8B339C}" name="ORIGINE" dataDxfId="58"/>
    <tableColumn id="4" xr3:uid="{304AF527-86D2-4CF7-98BC-C88204C4110A}" name="PRODUCTO" dataDxfId="57"/>
    <tableColumn id="5" xr3:uid="{D3266655-BA91-4F92-9912-3D4DDF5DEB4F}" name="ORIGEN" dataDxfId="56"/>
    <tableColumn id="14" xr3:uid="{6030AB86-FDB6-4B71-A0F4-FE59C5B62485}" name="INFO" dataDxfId="55"/>
    <tableColumn id="6" xr3:uid="{0E5C1DEA-0939-4792-8B37-94866D0EAF30}" name="PRIX_x000a_(sans FDP)" dataDxfId="54"/>
    <tableColumn id="9" xr3:uid="{F9860875-4235-4962-AAE7-EB970D38F5DB}" name="UNITÉ" dataDxfId="53" dataCellStyle="Euro"/>
    <tableColumn id="10" xr3:uid="{85F486C1-0597-4DC9-8C11-4CE768E772CC}" name="10kg" dataDxfId="52"/>
    <tableColumn id="11" xr3:uid="{C11198F1-154B-4D84-AFAB-E94505E7C5DF}" name="30kg" dataDxfId="51"/>
    <tableColumn id="16" xr3:uid="{3E113CA0-D6EC-49B5-86B0-58BF3577B0C7}" name="60kg" dataDxfId="50"/>
    <tableColumn id="7" xr3:uid="{16A23538-3B7E-47BF-9AD3-C220896082A8}" name="5kg_x000a_Min" dataDxfId="49"/>
    <tableColumn id="8" xr3:uid="{213E28D3-3081-4A9B-AABA-ADED369F93B7}" name="Colonne1" dataDxfId="48">
      <calculatedColumnFormula>Tableau3[[#This Row],[CODE]]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21" totalsRowShown="0">
  <autoFilter ref="B2:F21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insertRow="1" totalsRowShown="0" headerRowDxfId="47" dataDxfId="46" tableBorderDxfId="45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44"/>
    <tableColumn id="13" xr3:uid="{2E881B10-CDCF-4241-A3A4-ABC917F942FA}" name="Id" dataDxfId="43">
      <calculatedColumnFormula>ROW(C17)</calculatedColumnFormula>
    </tableColumn>
    <tableColumn id="2" xr3:uid="{71E84DFA-5F71-48D5-B5AE-CE8ED299EB24}" name="Code" dataDxfId="42"/>
    <tableColumn id="3" xr3:uid="{13613131-9551-4328-90BE-188E619E38C5}" name="Designation" dataDxfId="41"/>
    <tableColumn id="4" xr3:uid="{2CF57491-650F-430B-8CA4-B05F799A0782}" name="Qté" dataDxfId="40"/>
    <tableColumn id="5" xr3:uid="{BBF0133A-C9D4-4CD4-98FB-6F0D2CAE6E6B}" name="Unité" dataDxfId="39"/>
    <tableColumn id="6" xr3:uid="{F4A947C4-89D8-4398-A083-3F05CFA31F7A}" name="Cause" dataDxfId="38"/>
    <tableColumn id="7" xr3:uid="{A35DD11A-DC3E-4B49-B861-959CFE871259}" name="Commentaires" dataDxfId="37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2:L6" totalsRowShown="0">
  <autoFilter ref="B2:L6" xr:uid="{29735CBC-4A44-461C-8BBD-E099AF7A7628}"/>
  <tableColumns count="11">
    <tableColumn id="1" xr3:uid="{B376FB57-41B7-41DF-B726-B3CBD8490EC1}" name="Adhérents"/>
    <tableColumn id="2" xr3:uid="{7254325C-E5ED-4A3F-B0D4-4A716AF28498}" name="Code" dataDxfId="36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35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34"/>
    <tableColumn id="11" xr3:uid="{BD877AAF-BD69-4BA5-AADC-F06B767EC381}" name="Prix facturé" dataCellStyle="Monétaire">
      <calculatedColumnFormula>VLOOKUP(Tableau6[[#This Row],[Désignation]],FACTURE!C:F,3,FALSE)</calculatedColumnFormula>
    </tableColumn>
    <tableColumn id="10" xr3:uid="{9D74C5A5-9B62-48F3-A46C-E6E3CD91B9A0}" name="Montant" dataDxfId="33" dataCellStyle="Monétaire">
      <calculatedColumnFormula>_xlfn.SWITCH(Tableau6[[#This Row],[Avoir]],"TOTAL",Tableau6[[#This Row],[Prix facturé]]*Tableau6[[#This Row],[Qté]],"50%",(Tableau6[[#This Row],[Prix facturé]]-$P$1)*0.5*Tableau6[[#This Row],[Qté]])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totalsRowShown="0">
  <autoFilter ref="B3:P4" xr:uid="{2F6B722E-7642-4F9F-8591-FABD599D3899}"/>
  <tableColumns count="15">
    <tableColumn id="1" xr3:uid="{5E46DEED-DC77-46BD-B637-C98A405670D6}" name="ID" dataDxfId="32"/>
    <tableColumn id="2" xr3:uid="{8DFC754C-6CDD-4E80-90EA-B3E7E18B4A3F}" name="Groupe" dataDxfId="31"/>
    <tableColumn id="3" xr3:uid="{618B2832-B035-46DE-8B6B-E3F739882344}" name="Nom" dataDxfId="30"/>
    <tableColumn id="4" xr3:uid="{ED01026A-D995-4823-B05B-707BCC7D32DA}" name="Prénom" dataDxfId="29"/>
    <tableColumn id="5" xr3:uid="{1EF478E4-D45A-4DC0-893D-ED1065344A0B}" name="Adresse" dataDxfId="28"/>
    <tableColumn id="6" xr3:uid="{1C414D51-A3B1-440A-A4B3-46CEBA033171}" name="Complément" dataDxfId="27"/>
    <tableColumn id="7" xr3:uid="{6FE27231-B300-4533-B60B-00A80D833318}" name="Code Postal" dataDxfId="26"/>
    <tableColumn id="8" xr3:uid="{4BCB210A-527B-4D2A-B453-0FBAB0092EED}" name="Ville" dataDxfId="25"/>
    <tableColumn id="9" xr3:uid="{B40D9E1C-C9F4-4237-9A17-5D3B7C2409AA}" name="Téléphone" dataDxfId="24"/>
    <tableColumn id="10" xr3:uid="{94189408-EF41-487C-B363-9587E84551F1}" name="Email" dataDxfId="23"/>
    <tableColumn id="11" xr3:uid="{764EB7C1-CE48-4594-A554-B68AE9478C43}" name="Date" dataDxfId="22"/>
    <tableColumn id="12" xr3:uid="{35A7225E-7301-4F26-99EB-5199BB11E4EE}" name="Ville2" dataDxfId="21"/>
    <tableColumn id="13" xr3:uid="{6684DFA4-19BF-4B75-8BD0-AF8C9F5810D6}" name="Code Postal3" dataDxfId="20"/>
    <tableColumn id="14" xr3:uid="{65F0D2F0-CDD8-4808-923F-E7927C362E97}" name="Prénom NOM" dataDxfId="19"/>
    <tableColumn id="15" xr3:uid="{E7464922-2589-424C-B3A9-6BC29EA7B8DB}" name="Prénom NOM4" dataDxf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17" dataDxfId="16" tableBorderDxfId="15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4"/>
    <tableColumn id="2" xr3:uid="{477EB059-8388-4060-83C3-F27821E44273}" name="Designation" dataDxfId="13"/>
    <tableColumn id="3" xr3:uid="{A7515F3A-933D-48E9-A3C4-5DC877C7282F}" name="Qté" dataDxfId="12"/>
    <tableColumn id="4" xr3:uid="{23535833-97E1-4A28-92B6-7D2DC59018BF}" name="Unité" dataDxfId="11"/>
    <tableColumn id="9" xr3:uid="{FF7D90B4-0EBD-48B5-80B0-C32A6F259197}" name="€/Kg" dataDxfId="10" dataCellStyle="Monétaire"/>
    <tableColumn id="5" xr3:uid="{2BE2B6DE-FEFB-4DE7-81A2-9A2926F1A35B}" name="Cause" dataDxfId="9"/>
    <tableColumn id="6" xr3:uid="{78C02F95-5F3B-4E3A-9ED8-94BAB9AF9DD1}" name="Avoir" dataDxfId="8"/>
    <tableColumn id="7" xr3:uid="{0C811301-9E4C-43C2-8BB1-1E190A93FF4E}" name="Commentaires" dataDxfId="7"/>
    <tableColumn id="8" xr3:uid="{43E395EC-14E1-4060-94B9-FB0DBBA8A208}" name="A Rembourser" dataDxfId="6" dataCellStyle="Monétaire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J3" insertRow="1" totalsRowShown="0">
  <autoFilter ref="B2:J3" xr:uid="{357B5F88-E97F-4B4A-A096-BE9F674B29BB}"/>
  <tableColumns count="9">
    <tableColumn id="1" xr3:uid="{B9D2AFA2-9B6B-4BFB-87DF-4C005370ECC9}" name="Code" dataDxfId="5"/>
    <tableColumn id="2" xr3:uid="{319F67EE-633F-42B9-99A2-C7AF44C9718A}" name="Producto"/>
    <tableColumn id="3" xr3:uid="{4BA741A8-978E-45EA-A605-3B9F43A015A3}" name="Origin"/>
    <tableColumn id="4" xr3:uid="{CEF86D99-087A-459D-B8D0-54BD4F49794F}" name="Peso"/>
    <tableColumn id="5" xr3:uid="{F5B884AD-1D5F-4192-AB6B-58347E0B6764}" name="Unité"/>
    <tableColumn id="6" xr3:uid="{0415CEF7-89F9-4E20-B152-E7C843214CAB}" name="Cause"/>
    <tableColumn id="7" xr3:uid="{44620931-5408-47AF-AC60-8491E09157B8}" name="Unidad" dataDxfId="4">
      <calculatedColumnFormula>VLOOKUP(Tableau7[[#This Row],[Unité]],Config!$B$6:$C$12,2,FALSE)</calculatedColumnFormula>
    </tableColumn>
    <tableColumn id="8" xr3:uid="{95E24946-E409-4E1F-AC3D-1D2185A2A03D}" name="Causa" dataDxfId="3">
      <calculatedColumnFormula>VLOOKUP(Tableau7[[#This Row],[Cause]],Config!$B$1:$C$4,2,FALSE)</calculatedColumnFormula>
    </tableColumn>
    <tableColumn id="9" xr3:uid="{6126BD0C-9AA5-4CAD-B444-4118C3EA0A5E}" name="ID_regrouper" dataDxfId="2">
      <calculatedColumnFormula>Tableau7[[#This Row],[Producto]]&amp;Tableau7[[#This Row],[Causa]]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table" Target="../tables/table6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M201"/>
  <sheetViews>
    <sheetView workbookViewId="0">
      <selection activeCell="Q9" sqref="Q9"/>
    </sheetView>
  </sheetViews>
  <sheetFormatPr baseColWidth="10" defaultRowHeight="15" outlineLevelCol="1"/>
  <cols>
    <col min="1" max="1" width="11.42578125" style="3"/>
    <col min="2" max="2" width="46" style="4" customWidth="1"/>
    <col min="3" max="3" width="11.42578125" style="3" outlineLevel="1"/>
    <col min="4" max="4" width="51.28515625" style="4" customWidth="1" outlineLevel="1"/>
    <col min="5" max="5" width="11.42578125" style="3" outlineLevel="1"/>
    <col min="6" max="6" width="6.7109375" style="3" customWidth="1" outlineLevel="1"/>
    <col min="7" max="7" width="9.7109375" style="4" customWidth="1" outlineLevel="1"/>
    <col min="8" max="8" width="6.7109375" style="4" customWidth="1"/>
    <col min="9" max="12" width="5.7109375" style="4" customWidth="1"/>
  </cols>
  <sheetData>
    <row r="1" spans="1:13" ht="38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11</v>
      </c>
      <c r="K1" s="2" t="s">
        <v>12</v>
      </c>
      <c r="L1" s="1" t="s">
        <v>13</v>
      </c>
      <c r="M1" s="1" t="s">
        <v>24</v>
      </c>
    </row>
    <row r="2" spans="1:13" ht="22.5">
      <c r="A2" s="3">
        <v>6096</v>
      </c>
      <c r="B2" s="9" t="s">
        <v>140</v>
      </c>
      <c r="C2" s="3" t="s">
        <v>141</v>
      </c>
      <c r="D2" s="4" t="s">
        <v>142</v>
      </c>
      <c r="E2" s="3" t="s">
        <v>143</v>
      </c>
      <c r="F2" s="5"/>
      <c r="G2" s="6">
        <v>30.11</v>
      </c>
      <c r="H2" s="7" t="s">
        <v>14</v>
      </c>
      <c r="I2" s="1" t="s">
        <v>144</v>
      </c>
      <c r="J2" s="1"/>
      <c r="K2" s="1"/>
      <c r="L2" s="1"/>
      <c r="M2" s="10">
        <f>Tableau3[[#This Row],[CODE]]</f>
        <v>6096</v>
      </c>
    </row>
    <row r="3" spans="1:13">
      <c r="A3" s="3">
        <v>1312</v>
      </c>
      <c r="B3" s="9" t="s">
        <v>145</v>
      </c>
      <c r="C3" s="3" t="s">
        <v>146</v>
      </c>
      <c r="D3" s="4" t="s">
        <v>147</v>
      </c>
      <c r="E3" s="3" t="s">
        <v>148</v>
      </c>
      <c r="F3" s="5"/>
      <c r="G3" s="6">
        <v>8.19</v>
      </c>
      <c r="H3" s="7" t="s">
        <v>15</v>
      </c>
      <c r="I3" s="1" t="s">
        <v>144</v>
      </c>
      <c r="J3" s="1"/>
      <c r="K3" s="1"/>
      <c r="L3" s="1" t="s">
        <v>144</v>
      </c>
      <c r="M3" s="10">
        <f>Tableau3[[#This Row],[CODE]]</f>
        <v>1312</v>
      </c>
    </row>
    <row r="4" spans="1:13">
      <c r="A4" s="3">
        <v>1497</v>
      </c>
      <c r="B4" s="9" t="s">
        <v>149</v>
      </c>
      <c r="C4" s="3" t="s">
        <v>150</v>
      </c>
      <c r="D4" s="4" t="s">
        <v>151</v>
      </c>
      <c r="E4" s="3" t="s">
        <v>152</v>
      </c>
      <c r="F4" s="5" t="s">
        <v>153</v>
      </c>
      <c r="G4" s="6">
        <v>52.03</v>
      </c>
      <c r="H4" s="7" t="s">
        <v>14</v>
      </c>
      <c r="I4" s="1"/>
      <c r="J4" s="1"/>
      <c r="K4" s="1"/>
      <c r="L4" s="1"/>
      <c r="M4" s="10">
        <f>Tableau3[[#This Row],[CODE]]</f>
        <v>1497</v>
      </c>
    </row>
    <row r="5" spans="1:13">
      <c r="A5" s="3">
        <v>1497</v>
      </c>
      <c r="B5" s="9" t="s">
        <v>154</v>
      </c>
      <c r="C5" s="3" t="s">
        <v>150</v>
      </c>
      <c r="D5" s="4" t="s">
        <v>155</v>
      </c>
      <c r="E5" s="3" t="s">
        <v>152</v>
      </c>
      <c r="F5" s="5" t="s">
        <v>153</v>
      </c>
      <c r="G5" s="6">
        <v>26.7</v>
      </c>
      <c r="H5" s="7" t="s">
        <v>14</v>
      </c>
      <c r="I5" s="1"/>
      <c r="J5" s="1"/>
      <c r="K5" s="1"/>
      <c r="L5" s="1"/>
      <c r="M5" s="10">
        <f>Tableau3[[#This Row],[CODE]]</f>
        <v>1497</v>
      </c>
    </row>
    <row r="6" spans="1:13">
      <c r="A6" s="3">
        <v>1189</v>
      </c>
      <c r="B6" s="9" t="s">
        <v>156</v>
      </c>
      <c r="C6" s="3" t="s">
        <v>157</v>
      </c>
      <c r="D6" s="4" t="s">
        <v>158</v>
      </c>
      <c r="E6" s="3" t="s">
        <v>157</v>
      </c>
      <c r="F6" s="5" t="s">
        <v>153</v>
      </c>
      <c r="G6" s="6">
        <v>82.17</v>
      </c>
      <c r="H6" s="7" t="s">
        <v>14</v>
      </c>
      <c r="I6" s="1"/>
      <c r="J6" s="1"/>
      <c r="K6" s="1"/>
      <c r="L6" s="1"/>
      <c r="M6" s="10">
        <f>Tableau3[[#This Row],[CODE]]</f>
        <v>1189</v>
      </c>
    </row>
    <row r="7" spans="1:13">
      <c r="A7" s="3">
        <v>1189</v>
      </c>
      <c r="B7" s="9" t="s">
        <v>159</v>
      </c>
      <c r="C7" s="3" t="s">
        <v>157</v>
      </c>
      <c r="D7" s="4" t="s">
        <v>160</v>
      </c>
      <c r="E7" s="3" t="s">
        <v>157</v>
      </c>
      <c r="F7" s="5" t="s">
        <v>153</v>
      </c>
      <c r="G7" s="6">
        <v>41.77</v>
      </c>
      <c r="H7" s="7" t="s">
        <v>14</v>
      </c>
      <c r="I7" s="1"/>
      <c r="J7" s="1"/>
      <c r="K7" s="1"/>
      <c r="L7" s="1"/>
      <c r="M7" s="10">
        <f>Tableau3[[#This Row],[CODE]]</f>
        <v>1189</v>
      </c>
    </row>
    <row r="8" spans="1:13">
      <c r="A8" s="3">
        <v>6073</v>
      </c>
      <c r="B8" s="9" t="s">
        <v>161</v>
      </c>
      <c r="C8" s="3" t="s">
        <v>162</v>
      </c>
      <c r="D8" s="4" t="s">
        <v>163</v>
      </c>
      <c r="E8" s="3" t="s">
        <v>164</v>
      </c>
      <c r="F8" s="5" t="s">
        <v>153</v>
      </c>
      <c r="G8" s="6">
        <v>37.659999999999997</v>
      </c>
      <c r="H8" s="7" t="s">
        <v>14</v>
      </c>
      <c r="I8" s="1"/>
      <c r="J8" s="1"/>
      <c r="K8" s="1"/>
      <c r="L8" s="1"/>
      <c r="M8" s="10">
        <f>Tableau3[[#This Row],[CODE]]</f>
        <v>6073</v>
      </c>
    </row>
    <row r="9" spans="1:13">
      <c r="A9" s="3">
        <v>6073</v>
      </c>
      <c r="B9" s="9" t="s">
        <v>165</v>
      </c>
      <c r="C9" s="3" t="s">
        <v>162</v>
      </c>
      <c r="D9" s="4" t="s">
        <v>166</v>
      </c>
      <c r="E9" s="3" t="s">
        <v>164</v>
      </c>
      <c r="F9" s="5" t="s">
        <v>153</v>
      </c>
      <c r="G9" s="6">
        <v>19.579999999999998</v>
      </c>
      <c r="H9" s="7" t="s">
        <v>14</v>
      </c>
      <c r="I9" s="1"/>
      <c r="J9" s="1"/>
      <c r="K9" s="1"/>
      <c r="L9" s="1"/>
      <c r="M9" s="10">
        <f>Tableau3[[#This Row],[CODE]]</f>
        <v>6073</v>
      </c>
    </row>
    <row r="10" spans="1:13" ht="22.5">
      <c r="A10" s="3">
        <v>1096</v>
      </c>
      <c r="B10" s="9" t="s">
        <v>167</v>
      </c>
      <c r="C10" s="3" t="s">
        <v>162</v>
      </c>
      <c r="D10" s="4" t="s">
        <v>163</v>
      </c>
      <c r="E10" s="3" t="s">
        <v>164</v>
      </c>
      <c r="F10" s="5" t="s">
        <v>153</v>
      </c>
      <c r="G10" s="6">
        <v>53.4</v>
      </c>
      <c r="H10" s="7" t="s">
        <v>14</v>
      </c>
      <c r="I10" s="1"/>
      <c r="J10" s="1"/>
      <c r="K10" s="1"/>
      <c r="L10" s="1"/>
      <c r="M10" s="10">
        <f>Tableau3[[#This Row],[CODE]]</f>
        <v>1096</v>
      </c>
    </row>
    <row r="11" spans="1:13" ht="22.5">
      <c r="A11" s="3">
        <v>1096</v>
      </c>
      <c r="B11" s="9" t="s">
        <v>168</v>
      </c>
      <c r="C11" s="3" t="s">
        <v>162</v>
      </c>
      <c r="D11" s="4" t="s">
        <v>169</v>
      </c>
      <c r="E11" s="3" t="s">
        <v>164</v>
      </c>
      <c r="F11" s="5" t="s">
        <v>153</v>
      </c>
      <c r="G11" s="6">
        <v>27.37</v>
      </c>
      <c r="H11" s="7" t="s">
        <v>14</v>
      </c>
      <c r="I11" s="1"/>
      <c r="J11" s="1"/>
      <c r="K11" s="1"/>
      <c r="L11" s="1"/>
      <c r="M11" s="10">
        <f>Tableau3[[#This Row],[CODE]]</f>
        <v>1096</v>
      </c>
    </row>
    <row r="12" spans="1:13">
      <c r="A12" s="3">
        <v>1102</v>
      </c>
      <c r="B12" s="9" t="s">
        <v>170</v>
      </c>
      <c r="C12" s="3" t="s">
        <v>171</v>
      </c>
      <c r="D12" s="4" t="s">
        <v>172</v>
      </c>
      <c r="E12" s="3" t="s">
        <v>148</v>
      </c>
      <c r="F12" s="5" t="s">
        <v>153</v>
      </c>
      <c r="G12" s="6">
        <v>3.55</v>
      </c>
      <c r="H12" s="7" t="s">
        <v>14</v>
      </c>
      <c r="I12" s="1" t="s">
        <v>144</v>
      </c>
      <c r="J12" s="1" t="s">
        <v>144</v>
      </c>
      <c r="K12" s="1" t="s">
        <v>144</v>
      </c>
      <c r="L12" s="1"/>
      <c r="M12" s="10">
        <f>Tableau3[[#This Row],[CODE]]</f>
        <v>1102</v>
      </c>
    </row>
    <row r="13" spans="1:13" ht="22.5">
      <c r="A13" s="3">
        <v>5035</v>
      </c>
      <c r="B13" s="9" t="s">
        <v>173</v>
      </c>
      <c r="C13" s="3" t="s">
        <v>174</v>
      </c>
      <c r="D13" s="4" t="s">
        <v>175</v>
      </c>
      <c r="E13" s="3" t="s">
        <v>176</v>
      </c>
      <c r="F13" s="5" t="s">
        <v>153</v>
      </c>
      <c r="G13" s="6">
        <v>4.08</v>
      </c>
      <c r="H13" s="7" t="s">
        <v>15</v>
      </c>
      <c r="I13" s="1"/>
      <c r="J13" s="1"/>
      <c r="K13" s="1"/>
      <c r="L13" s="1"/>
      <c r="M13" s="10">
        <f>Tableau3[[#This Row],[CODE]]</f>
        <v>5035</v>
      </c>
    </row>
    <row r="14" spans="1:13" ht="22.5">
      <c r="A14" s="3">
        <v>5147</v>
      </c>
      <c r="B14" s="9" t="s">
        <v>177</v>
      </c>
      <c r="C14" s="3" t="s">
        <v>174</v>
      </c>
      <c r="D14" s="4" t="s">
        <v>178</v>
      </c>
      <c r="E14" s="3" t="s">
        <v>176</v>
      </c>
      <c r="F14" s="5" t="s">
        <v>153</v>
      </c>
      <c r="G14" s="6">
        <v>3.41</v>
      </c>
      <c r="H14" s="7" t="s">
        <v>15</v>
      </c>
      <c r="I14" s="1" t="s">
        <v>144</v>
      </c>
      <c r="J14" s="1" t="s">
        <v>144</v>
      </c>
      <c r="K14" s="1" t="s">
        <v>144</v>
      </c>
      <c r="L14" s="1"/>
      <c r="M14" s="10">
        <f>Tableau3[[#This Row],[CODE]]</f>
        <v>5147</v>
      </c>
    </row>
    <row r="15" spans="1:13" ht="22.5">
      <c r="A15" s="3">
        <v>1197</v>
      </c>
      <c r="B15" s="9" t="s">
        <v>179</v>
      </c>
      <c r="C15" s="3" t="s">
        <v>174</v>
      </c>
      <c r="D15" s="4" t="s">
        <v>180</v>
      </c>
      <c r="E15" s="3" t="s">
        <v>176</v>
      </c>
      <c r="F15" s="5" t="s">
        <v>153</v>
      </c>
      <c r="G15" s="6">
        <v>24.63</v>
      </c>
      <c r="H15" s="7" t="s">
        <v>14</v>
      </c>
      <c r="I15" s="1" t="s">
        <v>144</v>
      </c>
      <c r="J15" s="1"/>
      <c r="K15" s="1"/>
      <c r="L15" s="1"/>
      <c r="M15" s="10">
        <f>Tableau3[[#This Row],[CODE]]</f>
        <v>1197</v>
      </c>
    </row>
    <row r="16" spans="1:13" ht="22.5">
      <c r="A16" s="3">
        <v>3020</v>
      </c>
      <c r="B16" s="9" t="s">
        <v>181</v>
      </c>
      <c r="C16" s="3" t="s">
        <v>182</v>
      </c>
      <c r="D16" s="4" t="s">
        <v>183</v>
      </c>
      <c r="E16" s="3" t="s">
        <v>182</v>
      </c>
      <c r="F16" s="5" t="s">
        <v>153</v>
      </c>
      <c r="G16" s="6">
        <v>4.37</v>
      </c>
      <c r="H16" s="7" t="s">
        <v>15</v>
      </c>
      <c r="I16" s="1" t="s">
        <v>144</v>
      </c>
      <c r="J16" s="1" t="s">
        <v>144</v>
      </c>
      <c r="K16" s="1"/>
      <c r="L16" s="1" t="s">
        <v>144</v>
      </c>
      <c r="M16" s="10">
        <f>Tableau3[[#This Row],[CODE]]</f>
        <v>3020</v>
      </c>
    </row>
    <row r="17" spans="1:13">
      <c r="A17" s="3">
        <v>1338</v>
      </c>
      <c r="B17" s="9" t="s">
        <v>184</v>
      </c>
      <c r="C17" s="3" t="s">
        <v>182</v>
      </c>
      <c r="D17" s="4" t="s">
        <v>185</v>
      </c>
      <c r="E17" s="3" t="s">
        <v>182</v>
      </c>
      <c r="F17" s="5" t="s">
        <v>153</v>
      </c>
      <c r="G17" s="6">
        <v>27.37</v>
      </c>
      <c r="H17" s="7" t="s">
        <v>14</v>
      </c>
      <c r="I17" s="1"/>
      <c r="J17" s="1"/>
      <c r="K17" s="1"/>
      <c r="L17" s="1"/>
      <c r="M17" s="10">
        <f>Tableau3[[#This Row],[CODE]]</f>
        <v>1338</v>
      </c>
    </row>
    <row r="18" spans="1:13">
      <c r="A18" s="3">
        <v>3785</v>
      </c>
      <c r="B18" s="9" t="s">
        <v>186</v>
      </c>
      <c r="C18" s="3" t="s">
        <v>187</v>
      </c>
      <c r="D18" s="4" t="s">
        <v>188</v>
      </c>
      <c r="E18" s="3" t="s">
        <v>189</v>
      </c>
      <c r="F18" s="5" t="s">
        <v>153</v>
      </c>
      <c r="G18" s="6">
        <v>4.37</v>
      </c>
      <c r="H18" s="7" t="s">
        <v>15</v>
      </c>
      <c r="I18" s="1" t="s">
        <v>144</v>
      </c>
      <c r="J18" s="1" t="s">
        <v>144</v>
      </c>
      <c r="K18" s="1"/>
      <c r="L18" s="1"/>
      <c r="M18" s="10">
        <f>Tableau3[[#This Row],[CODE]]</f>
        <v>3785</v>
      </c>
    </row>
    <row r="19" spans="1:13">
      <c r="A19" s="3">
        <v>1827</v>
      </c>
      <c r="B19" s="9" t="s">
        <v>190</v>
      </c>
      <c r="C19" s="3" t="s">
        <v>187</v>
      </c>
      <c r="D19" s="4" t="s">
        <v>191</v>
      </c>
      <c r="E19" s="3" t="s">
        <v>189</v>
      </c>
      <c r="F19" s="5" t="s">
        <v>153</v>
      </c>
      <c r="G19" s="6">
        <v>7.52</v>
      </c>
      <c r="H19" s="7" t="s">
        <v>15</v>
      </c>
      <c r="I19" s="1" t="s">
        <v>144</v>
      </c>
      <c r="J19" s="1" t="s">
        <v>144</v>
      </c>
      <c r="K19" s="1"/>
      <c r="L19" s="1"/>
      <c r="M19" s="10">
        <f>Tableau3[[#This Row],[CODE]]</f>
        <v>1827</v>
      </c>
    </row>
    <row r="20" spans="1:13">
      <c r="A20" s="3">
        <v>3001</v>
      </c>
      <c r="B20" s="9" t="s">
        <v>192</v>
      </c>
      <c r="C20" s="3" t="s">
        <v>174</v>
      </c>
      <c r="D20" s="4" t="s">
        <v>193</v>
      </c>
      <c r="E20" s="3" t="s">
        <v>176</v>
      </c>
      <c r="F20" s="5" t="s">
        <v>153</v>
      </c>
      <c r="G20" s="6">
        <v>5.88</v>
      </c>
      <c r="H20" s="7" t="s">
        <v>15</v>
      </c>
      <c r="I20" s="1" t="s">
        <v>144</v>
      </c>
      <c r="J20" s="1" t="s">
        <v>144</v>
      </c>
      <c r="K20" s="1"/>
      <c r="L20" s="1" t="s">
        <v>144</v>
      </c>
      <c r="M20" s="10">
        <f>Tableau3[[#This Row],[CODE]]</f>
        <v>3001</v>
      </c>
    </row>
    <row r="21" spans="1:13">
      <c r="A21" s="3">
        <v>1001</v>
      </c>
      <c r="B21" s="9" t="s">
        <v>194</v>
      </c>
      <c r="C21" s="3" t="s">
        <v>174</v>
      </c>
      <c r="D21" s="4" t="s">
        <v>195</v>
      </c>
      <c r="E21" s="3" t="s">
        <v>176</v>
      </c>
      <c r="F21" s="5"/>
      <c r="G21" s="6">
        <v>6.15</v>
      </c>
      <c r="H21" s="7" t="s">
        <v>15</v>
      </c>
      <c r="I21" s="1" t="s">
        <v>144</v>
      </c>
      <c r="J21" s="1" t="s">
        <v>144</v>
      </c>
      <c r="K21" s="1"/>
      <c r="L21" s="1" t="s">
        <v>144</v>
      </c>
      <c r="M21" s="10">
        <f>Tableau3[[#This Row],[CODE]]</f>
        <v>1001</v>
      </c>
    </row>
    <row r="22" spans="1:13" ht="22.5">
      <c r="A22" s="3">
        <v>3009</v>
      </c>
      <c r="B22" s="9" t="s">
        <v>196</v>
      </c>
      <c r="C22" s="3" t="s">
        <v>174</v>
      </c>
      <c r="D22" s="4" t="s">
        <v>197</v>
      </c>
      <c r="E22" s="3" t="s">
        <v>176</v>
      </c>
      <c r="F22" s="5"/>
      <c r="G22" s="6">
        <v>4.08</v>
      </c>
      <c r="H22" s="7" t="s">
        <v>15</v>
      </c>
      <c r="I22" s="1"/>
      <c r="J22" s="1"/>
      <c r="K22" s="1"/>
      <c r="L22" s="1" t="s">
        <v>198</v>
      </c>
      <c r="M22" s="10">
        <f>Tableau3[[#This Row],[CODE]]</f>
        <v>3009</v>
      </c>
    </row>
    <row r="23" spans="1:13" ht="22.5">
      <c r="A23" s="3">
        <v>3009</v>
      </c>
      <c r="B23" s="9" t="s">
        <v>199</v>
      </c>
      <c r="C23" s="3" t="s">
        <v>174</v>
      </c>
      <c r="D23" s="4" t="s">
        <v>200</v>
      </c>
      <c r="E23" s="3" t="s">
        <v>176</v>
      </c>
      <c r="F23" s="5" t="s">
        <v>153</v>
      </c>
      <c r="G23" s="6">
        <v>9.44</v>
      </c>
      <c r="H23" s="7" t="s">
        <v>15</v>
      </c>
      <c r="I23" s="1" t="s">
        <v>144</v>
      </c>
      <c r="J23" s="1" t="s">
        <v>144</v>
      </c>
      <c r="K23" s="1"/>
      <c r="L23" s="1" t="s">
        <v>144</v>
      </c>
      <c r="M23" s="10">
        <f>Tableau3[[#This Row],[CODE]]</f>
        <v>3009</v>
      </c>
    </row>
    <row r="24" spans="1:13" ht="33.75">
      <c r="A24" s="3" t="s">
        <v>201</v>
      </c>
      <c r="B24" s="9" t="s">
        <v>202</v>
      </c>
      <c r="C24" s="3" t="s">
        <v>174</v>
      </c>
      <c r="D24" s="4" t="s">
        <v>203</v>
      </c>
      <c r="E24" s="3" t="s">
        <v>176</v>
      </c>
      <c r="F24" s="5" t="s">
        <v>153</v>
      </c>
      <c r="G24" s="6">
        <v>9.99</v>
      </c>
      <c r="H24" s="7" t="s">
        <v>15</v>
      </c>
      <c r="I24" s="1" t="s">
        <v>144</v>
      </c>
      <c r="J24" s="1" t="s">
        <v>144</v>
      </c>
      <c r="K24" s="1"/>
      <c r="L24" s="1" t="s">
        <v>144</v>
      </c>
      <c r="M24" s="10" t="str">
        <f>Tableau3[[#This Row],[CODE]]</f>
        <v>3009.179</v>
      </c>
    </row>
    <row r="25" spans="1:13">
      <c r="A25" s="3">
        <v>1527</v>
      </c>
      <c r="B25" s="9" t="s">
        <v>204</v>
      </c>
      <c r="C25" s="3" t="s">
        <v>205</v>
      </c>
      <c r="D25" s="4" t="s">
        <v>206</v>
      </c>
      <c r="E25" s="3" t="s">
        <v>207</v>
      </c>
      <c r="F25" s="5" t="s">
        <v>153</v>
      </c>
      <c r="G25" s="6">
        <v>28.74</v>
      </c>
      <c r="H25" s="7" t="s">
        <v>14</v>
      </c>
      <c r="I25" s="1"/>
      <c r="J25" s="1"/>
      <c r="K25" s="1"/>
      <c r="L25" s="1"/>
      <c r="M25" s="10">
        <f>Tableau3[[#This Row],[CODE]]</f>
        <v>1527</v>
      </c>
    </row>
    <row r="26" spans="1:13">
      <c r="A26" s="3">
        <v>1527</v>
      </c>
      <c r="B26" s="9" t="s">
        <v>208</v>
      </c>
      <c r="C26" s="3" t="s">
        <v>205</v>
      </c>
      <c r="D26" s="4" t="s">
        <v>209</v>
      </c>
      <c r="E26" s="3" t="s">
        <v>207</v>
      </c>
      <c r="F26" s="5" t="s">
        <v>153</v>
      </c>
      <c r="G26" s="6">
        <v>15.04</v>
      </c>
      <c r="H26" s="7" t="s">
        <v>14</v>
      </c>
      <c r="I26" s="1"/>
      <c r="J26" s="1"/>
      <c r="K26" s="1"/>
      <c r="L26" s="1"/>
      <c r="M26" s="10">
        <f>Tableau3[[#This Row],[CODE]]</f>
        <v>1527</v>
      </c>
    </row>
    <row r="27" spans="1:13">
      <c r="A27" s="3">
        <v>3007</v>
      </c>
      <c r="B27" s="9" t="s">
        <v>210</v>
      </c>
      <c r="C27" s="3" t="s">
        <v>174</v>
      </c>
      <c r="D27" s="4" t="s">
        <v>211</v>
      </c>
      <c r="E27" s="3" t="s">
        <v>176</v>
      </c>
      <c r="F27" s="5" t="s">
        <v>153</v>
      </c>
      <c r="G27" s="6">
        <v>3.96</v>
      </c>
      <c r="H27" s="7" t="s">
        <v>15</v>
      </c>
      <c r="I27" s="1" t="s">
        <v>144</v>
      </c>
      <c r="J27" s="1" t="s">
        <v>144</v>
      </c>
      <c r="K27" s="1"/>
      <c r="L27" s="1" t="s">
        <v>144</v>
      </c>
      <c r="M27" s="10">
        <f>Tableau3[[#This Row],[CODE]]</f>
        <v>3007</v>
      </c>
    </row>
    <row r="28" spans="1:13">
      <c r="A28" s="3">
        <v>3033</v>
      </c>
      <c r="B28" s="9" t="s">
        <v>212</v>
      </c>
      <c r="C28" s="3" t="s">
        <v>174</v>
      </c>
      <c r="D28" s="4" t="s">
        <v>213</v>
      </c>
      <c r="E28" s="3" t="s">
        <v>176</v>
      </c>
      <c r="F28" s="5" t="s">
        <v>153</v>
      </c>
      <c r="G28" s="6">
        <v>3.82</v>
      </c>
      <c r="H28" s="7" t="s">
        <v>15</v>
      </c>
      <c r="I28" s="1" t="s">
        <v>144</v>
      </c>
      <c r="J28" s="1" t="s">
        <v>144</v>
      </c>
      <c r="K28" s="1" t="s">
        <v>144</v>
      </c>
      <c r="L28" s="1" t="s">
        <v>144</v>
      </c>
      <c r="M28" s="10">
        <f>Tableau3[[#This Row],[CODE]]</f>
        <v>3033</v>
      </c>
    </row>
    <row r="29" spans="1:13" ht="45">
      <c r="A29" s="3">
        <v>1487</v>
      </c>
      <c r="B29" s="9" t="s">
        <v>214</v>
      </c>
      <c r="C29" s="3" t="s">
        <v>174</v>
      </c>
      <c r="D29" s="4" t="s">
        <v>215</v>
      </c>
      <c r="E29" s="3" t="s">
        <v>176</v>
      </c>
      <c r="F29" s="5"/>
      <c r="G29" s="6">
        <v>4.08</v>
      </c>
      <c r="H29" s="7" t="s">
        <v>15</v>
      </c>
      <c r="I29" s="1" t="s">
        <v>144</v>
      </c>
      <c r="J29" s="1"/>
      <c r="K29" s="1"/>
      <c r="L29" s="1" t="s">
        <v>144</v>
      </c>
      <c r="M29" s="10">
        <f>Tableau3[[#This Row],[CODE]]</f>
        <v>1487</v>
      </c>
    </row>
    <row r="30" spans="1:13" ht="22.5">
      <c r="A30" s="3">
        <v>3746</v>
      </c>
      <c r="B30" s="9" t="s">
        <v>216</v>
      </c>
      <c r="C30" s="3" t="s">
        <v>174</v>
      </c>
      <c r="D30" s="4" t="s">
        <v>217</v>
      </c>
      <c r="E30" s="3" t="s">
        <v>176</v>
      </c>
      <c r="F30" s="5" t="s">
        <v>153</v>
      </c>
      <c r="G30" s="6">
        <v>4.78</v>
      </c>
      <c r="H30" s="7" t="s">
        <v>14</v>
      </c>
      <c r="I30" s="1"/>
      <c r="J30" s="1"/>
      <c r="K30" s="1"/>
      <c r="L30" s="1"/>
      <c r="M30" s="10">
        <f>Tableau3[[#This Row],[CODE]]</f>
        <v>3746</v>
      </c>
    </row>
    <row r="31" spans="1:13" ht="22.5">
      <c r="A31" s="3" t="s">
        <v>218</v>
      </c>
      <c r="B31" s="9" t="s">
        <v>219</v>
      </c>
      <c r="C31" s="3" t="s">
        <v>171</v>
      </c>
      <c r="D31" s="4" t="s">
        <v>220</v>
      </c>
      <c r="E31" s="3" t="s">
        <v>148</v>
      </c>
      <c r="F31" s="5"/>
      <c r="G31" s="6">
        <v>2.3199999999999998</v>
      </c>
      <c r="H31" s="7" t="s">
        <v>15</v>
      </c>
      <c r="I31" s="1" t="s">
        <v>144</v>
      </c>
      <c r="J31" s="1"/>
      <c r="K31" s="1"/>
      <c r="L31" s="1" t="s">
        <v>144</v>
      </c>
      <c r="M31" s="10" t="str">
        <f>Tableau3[[#This Row],[CODE]]</f>
        <v>1124-1275-1679</v>
      </c>
    </row>
    <row r="32" spans="1:13">
      <c r="A32" s="3">
        <v>1696</v>
      </c>
      <c r="B32" s="9" t="s">
        <v>221</v>
      </c>
      <c r="C32" s="3" t="s">
        <v>222</v>
      </c>
      <c r="D32" s="4" t="s">
        <v>223</v>
      </c>
      <c r="E32" s="3" t="s">
        <v>224</v>
      </c>
      <c r="F32" s="5"/>
      <c r="G32" s="6">
        <v>23.96</v>
      </c>
      <c r="H32" s="7" t="s">
        <v>14</v>
      </c>
      <c r="I32" s="1"/>
      <c r="J32" s="1"/>
      <c r="K32" s="1"/>
      <c r="L32" s="1"/>
      <c r="M32" s="10">
        <f>Tableau3[[#This Row],[CODE]]</f>
        <v>1696</v>
      </c>
    </row>
    <row r="33" spans="1:13">
      <c r="A33" s="3">
        <v>1696</v>
      </c>
      <c r="B33" s="9" t="s">
        <v>225</v>
      </c>
      <c r="C33" s="3" t="s">
        <v>222</v>
      </c>
      <c r="D33" s="4" t="s">
        <v>226</v>
      </c>
      <c r="E33" s="3" t="s">
        <v>224</v>
      </c>
      <c r="F33" s="5"/>
      <c r="G33" s="6">
        <v>12.73</v>
      </c>
      <c r="H33" s="7" t="s">
        <v>14</v>
      </c>
      <c r="I33" s="1"/>
      <c r="J33" s="1"/>
      <c r="K33" s="1"/>
      <c r="L33" s="1"/>
      <c r="M33" s="10">
        <f>Tableau3[[#This Row],[CODE]]</f>
        <v>1696</v>
      </c>
    </row>
    <row r="34" spans="1:13" ht="22.5">
      <c r="A34" s="3">
        <v>1257</v>
      </c>
      <c r="B34" s="9" t="s">
        <v>227</v>
      </c>
      <c r="C34" s="3" t="s">
        <v>174</v>
      </c>
      <c r="D34" s="4" t="s">
        <v>228</v>
      </c>
      <c r="E34" s="3" t="s">
        <v>176</v>
      </c>
      <c r="F34" s="5"/>
      <c r="G34" s="6">
        <v>5.45</v>
      </c>
      <c r="H34" s="7" t="s">
        <v>15</v>
      </c>
      <c r="I34" s="1"/>
      <c r="J34" s="1"/>
      <c r="K34" s="1"/>
      <c r="L34" s="1" t="s">
        <v>198</v>
      </c>
      <c r="M34" s="10">
        <f>Tableau3[[#This Row],[CODE]]</f>
        <v>1257</v>
      </c>
    </row>
    <row r="35" spans="1:13" ht="22.5">
      <c r="A35" s="3">
        <v>1937</v>
      </c>
      <c r="B35" s="9" t="s">
        <v>229</v>
      </c>
      <c r="C35" s="3" t="s">
        <v>230</v>
      </c>
      <c r="D35" s="4" t="s">
        <v>231</v>
      </c>
      <c r="E35" s="3" t="s">
        <v>232</v>
      </c>
      <c r="F35" s="5" t="s">
        <v>153</v>
      </c>
      <c r="G35" s="6">
        <v>21.89</v>
      </c>
      <c r="H35" s="7" t="s">
        <v>14</v>
      </c>
      <c r="I35" s="1" t="s">
        <v>144</v>
      </c>
      <c r="J35" s="1"/>
      <c r="K35" s="1"/>
      <c r="L35" s="1"/>
      <c r="M35" s="10">
        <f>Tableau3[[#This Row],[CODE]]</f>
        <v>1937</v>
      </c>
    </row>
    <row r="36" spans="1:13">
      <c r="A36" s="3">
        <v>6099</v>
      </c>
      <c r="B36" s="9" t="s">
        <v>233</v>
      </c>
      <c r="C36" s="3" t="s">
        <v>230</v>
      </c>
      <c r="D36" s="4" t="s">
        <v>234</v>
      </c>
      <c r="E36" s="3" t="s">
        <v>232</v>
      </c>
      <c r="F36" s="5"/>
      <c r="G36" s="6">
        <v>18.48</v>
      </c>
      <c r="H36" s="7" t="s">
        <v>14</v>
      </c>
      <c r="I36" s="1"/>
      <c r="J36" s="1"/>
      <c r="K36" s="1"/>
      <c r="L36" s="1"/>
      <c r="M36" s="10">
        <f>Tableau3[[#This Row],[CODE]]</f>
        <v>6099</v>
      </c>
    </row>
    <row r="37" spans="1:13">
      <c r="A37" s="3">
        <v>5051</v>
      </c>
      <c r="B37" s="9" t="s">
        <v>235</v>
      </c>
      <c r="C37" s="3" t="s">
        <v>171</v>
      </c>
      <c r="D37" s="4" t="s">
        <v>236</v>
      </c>
      <c r="E37" s="3" t="s">
        <v>148</v>
      </c>
      <c r="F37" s="5" t="s">
        <v>153</v>
      </c>
      <c r="G37" s="6">
        <v>2.04</v>
      </c>
      <c r="H37" s="7" t="s">
        <v>15</v>
      </c>
      <c r="I37" s="1" t="s">
        <v>144</v>
      </c>
      <c r="J37" s="1" t="s">
        <v>144</v>
      </c>
      <c r="K37" s="1"/>
      <c r="L37" s="1"/>
      <c r="M37" s="10">
        <f>Tableau3[[#This Row],[CODE]]</f>
        <v>5051</v>
      </c>
    </row>
    <row r="38" spans="1:13">
      <c r="A38" s="3">
        <v>3210</v>
      </c>
      <c r="B38" s="9" t="s">
        <v>237</v>
      </c>
      <c r="C38" s="3" t="s">
        <v>174</v>
      </c>
      <c r="D38" s="4" t="s">
        <v>238</v>
      </c>
      <c r="E38" s="3" t="s">
        <v>176</v>
      </c>
      <c r="F38" s="5"/>
      <c r="G38" s="6">
        <v>4.92</v>
      </c>
      <c r="H38" s="7" t="s">
        <v>15</v>
      </c>
      <c r="I38" s="1" t="s">
        <v>144</v>
      </c>
      <c r="J38" s="1"/>
      <c r="K38" s="1"/>
      <c r="L38" s="1" t="s">
        <v>144</v>
      </c>
      <c r="M38" s="10">
        <f>Tableau3[[#This Row],[CODE]]</f>
        <v>3210</v>
      </c>
    </row>
    <row r="39" spans="1:13">
      <c r="A39" s="3">
        <v>5075</v>
      </c>
      <c r="B39" s="9" t="s">
        <v>239</v>
      </c>
      <c r="C39" s="3" t="s">
        <v>174</v>
      </c>
      <c r="D39" s="4" t="s">
        <v>240</v>
      </c>
      <c r="E39" s="3" t="s">
        <v>176</v>
      </c>
      <c r="F39" s="5"/>
      <c r="G39" s="6">
        <v>3.14</v>
      </c>
      <c r="H39" s="7" t="s">
        <v>15</v>
      </c>
      <c r="I39" s="1" t="s">
        <v>144</v>
      </c>
      <c r="J39" s="1"/>
      <c r="K39" s="1"/>
      <c r="L39" s="1" t="s">
        <v>144</v>
      </c>
      <c r="M39" s="10">
        <f>Tableau3[[#This Row],[CODE]]</f>
        <v>5075</v>
      </c>
    </row>
    <row r="40" spans="1:13">
      <c r="A40" s="3">
        <v>1034</v>
      </c>
      <c r="B40" s="9" t="s">
        <v>241</v>
      </c>
      <c r="C40" s="3" t="s">
        <v>171</v>
      </c>
      <c r="D40" s="4" t="s">
        <v>242</v>
      </c>
      <c r="E40" s="3" t="s">
        <v>171</v>
      </c>
      <c r="F40" s="5"/>
      <c r="G40" s="6">
        <v>2.4500000000000002</v>
      </c>
      <c r="H40" s="7" t="s">
        <v>15</v>
      </c>
      <c r="I40" s="1" t="s">
        <v>144</v>
      </c>
      <c r="J40" s="1" t="s">
        <v>144</v>
      </c>
      <c r="K40" s="1"/>
      <c r="L40" s="1" t="s">
        <v>144</v>
      </c>
      <c r="M40" s="10">
        <f>Tableau3[[#This Row],[CODE]]</f>
        <v>1034</v>
      </c>
    </row>
    <row r="41" spans="1:13">
      <c r="A41" s="3">
        <v>3017</v>
      </c>
      <c r="B41" s="9" t="s">
        <v>243</v>
      </c>
      <c r="C41" s="3" t="s">
        <v>174</v>
      </c>
      <c r="D41" s="4" t="s">
        <v>244</v>
      </c>
      <c r="E41" s="3" t="s">
        <v>176</v>
      </c>
      <c r="F41" s="5"/>
      <c r="G41" s="6">
        <v>1.9</v>
      </c>
      <c r="H41" s="8" t="s">
        <v>15</v>
      </c>
      <c r="I41" s="1" t="s">
        <v>144</v>
      </c>
      <c r="J41" s="1" t="s">
        <v>144</v>
      </c>
      <c r="K41" s="1" t="s">
        <v>144</v>
      </c>
      <c r="L41" s="1" t="s">
        <v>144</v>
      </c>
      <c r="M41" s="10">
        <f>Tableau3[[#This Row],[CODE]]</f>
        <v>3017</v>
      </c>
    </row>
    <row r="42" spans="1:13" ht="22.5">
      <c r="A42" s="3">
        <v>6117</v>
      </c>
      <c r="B42" s="9" t="s">
        <v>245</v>
      </c>
      <c r="C42" s="3" t="s">
        <v>174</v>
      </c>
      <c r="D42" s="4" t="s">
        <v>246</v>
      </c>
      <c r="E42" s="3" t="s">
        <v>176</v>
      </c>
      <c r="F42" s="5" t="s">
        <v>153</v>
      </c>
      <c r="G42" s="6">
        <v>2.3199999999999998</v>
      </c>
      <c r="H42" s="7" t="s">
        <v>15</v>
      </c>
      <c r="I42" s="1" t="s">
        <v>144</v>
      </c>
      <c r="J42" s="1" t="s">
        <v>144</v>
      </c>
      <c r="K42" s="1"/>
      <c r="L42" s="1" t="s">
        <v>144</v>
      </c>
      <c r="M42" s="10">
        <f>Tableau3[[#This Row],[CODE]]</f>
        <v>6117</v>
      </c>
    </row>
    <row r="43" spans="1:13">
      <c r="A43" s="3">
        <v>3023</v>
      </c>
      <c r="B43" s="9" t="s">
        <v>247</v>
      </c>
      <c r="C43" s="3" t="s">
        <v>174</v>
      </c>
      <c r="D43" s="4" t="s">
        <v>248</v>
      </c>
      <c r="E43" s="3" t="s">
        <v>176</v>
      </c>
      <c r="F43" s="5"/>
      <c r="G43" s="6">
        <v>2.71</v>
      </c>
      <c r="H43" s="7" t="s">
        <v>15</v>
      </c>
      <c r="I43" s="1" t="s">
        <v>144</v>
      </c>
      <c r="J43" s="1"/>
      <c r="K43" s="1"/>
      <c r="L43" s="1" t="s">
        <v>144</v>
      </c>
      <c r="M43" s="10">
        <f>Tableau3[[#This Row],[CODE]]</f>
        <v>3023</v>
      </c>
    </row>
    <row r="44" spans="1:13">
      <c r="A44" s="3">
        <v>1117</v>
      </c>
      <c r="B44" s="9" t="s">
        <v>249</v>
      </c>
      <c r="C44" s="3" t="s">
        <v>171</v>
      </c>
      <c r="D44" s="4" t="s">
        <v>250</v>
      </c>
      <c r="E44" s="3" t="s">
        <v>148</v>
      </c>
      <c r="F44" s="5"/>
      <c r="G44" s="6">
        <v>3.96</v>
      </c>
      <c r="H44" s="7" t="s">
        <v>15</v>
      </c>
      <c r="I44" s="1" t="s">
        <v>144</v>
      </c>
      <c r="J44" s="1" t="s">
        <v>144</v>
      </c>
      <c r="K44" s="1"/>
      <c r="L44" s="1" t="s">
        <v>144</v>
      </c>
      <c r="M44" s="10">
        <f>Tableau3[[#This Row],[CODE]]</f>
        <v>1117</v>
      </c>
    </row>
    <row r="45" spans="1:13">
      <c r="A45" s="3">
        <v>1572</v>
      </c>
      <c r="B45" s="9" t="s">
        <v>251</v>
      </c>
      <c r="C45" s="3" t="s">
        <v>252</v>
      </c>
      <c r="D45" s="4" t="s">
        <v>253</v>
      </c>
      <c r="E45" s="3" t="s">
        <v>254</v>
      </c>
      <c r="F45" s="5" t="s">
        <v>153</v>
      </c>
      <c r="G45" s="6">
        <v>7.93</v>
      </c>
      <c r="H45" s="7" t="s">
        <v>14</v>
      </c>
      <c r="I45" s="1" t="s">
        <v>144</v>
      </c>
      <c r="J45" s="1"/>
      <c r="K45" s="1"/>
      <c r="L45" s="1"/>
      <c r="M45" s="10">
        <f>Tableau3[[#This Row],[CODE]]</f>
        <v>1572</v>
      </c>
    </row>
    <row r="46" spans="1:13">
      <c r="A46" s="3">
        <v>1611</v>
      </c>
      <c r="B46" s="9" t="s">
        <v>255</v>
      </c>
      <c r="C46" s="3" t="s">
        <v>256</v>
      </c>
      <c r="D46" s="4" t="s">
        <v>257</v>
      </c>
      <c r="E46" s="3" t="s">
        <v>256</v>
      </c>
      <c r="F46" s="5" t="s">
        <v>153</v>
      </c>
      <c r="G46" s="6">
        <v>8.75</v>
      </c>
      <c r="H46" s="7" t="s">
        <v>14</v>
      </c>
      <c r="I46" s="1" t="s">
        <v>144</v>
      </c>
      <c r="J46" s="1" t="s">
        <v>144</v>
      </c>
      <c r="K46" s="1"/>
      <c r="L46" s="1"/>
      <c r="M46" s="10">
        <f>Tableau3[[#This Row],[CODE]]</f>
        <v>1611</v>
      </c>
    </row>
    <row r="47" spans="1:13" ht="22.5">
      <c r="A47" s="3">
        <v>3032</v>
      </c>
      <c r="B47" s="9" t="s">
        <v>258</v>
      </c>
      <c r="C47" s="3" t="s">
        <v>174</v>
      </c>
      <c r="D47" s="4" t="s">
        <v>259</v>
      </c>
      <c r="E47" s="3" t="s">
        <v>176</v>
      </c>
      <c r="F47" s="5"/>
      <c r="G47" s="6">
        <v>4.37</v>
      </c>
      <c r="H47" s="7" t="s">
        <v>15</v>
      </c>
      <c r="I47" s="1" t="s">
        <v>144</v>
      </c>
      <c r="J47" s="1" t="s">
        <v>144</v>
      </c>
      <c r="K47" s="1"/>
      <c r="L47" s="1" t="s">
        <v>144</v>
      </c>
      <c r="M47" s="10">
        <f>Tableau3[[#This Row],[CODE]]</f>
        <v>3032</v>
      </c>
    </row>
    <row r="48" spans="1:13" ht="22.5">
      <c r="A48" s="3">
        <v>2004</v>
      </c>
      <c r="B48" s="9" t="s">
        <v>260</v>
      </c>
      <c r="C48" s="3" t="s">
        <v>174</v>
      </c>
      <c r="D48" s="4" t="s">
        <v>261</v>
      </c>
      <c r="E48" s="3" t="s">
        <v>176</v>
      </c>
      <c r="F48" s="5"/>
      <c r="G48" s="6">
        <v>4.78</v>
      </c>
      <c r="H48" s="7" t="s">
        <v>15</v>
      </c>
      <c r="I48" s="1" t="s">
        <v>144</v>
      </c>
      <c r="J48" s="1" t="s">
        <v>144</v>
      </c>
      <c r="K48" s="1" t="s">
        <v>144</v>
      </c>
      <c r="L48" s="1" t="s">
        <v>144</v>
      </c>
      <c r="M48" s="10">
        <f>Tableau3[[#This Row],[CODE]]</f>
        <v>2004</v>
      </c>
    </row>
    <row r="49" spans="1:13">
      <c r="A49" s="3">
        <v>1006</v>
      </c>
      <c r="B49" s="9" t="s">
        <v>262</v>
      </c>
      <c r="C49" s="3" t="s">
        <v>171</v>
      </c>
      <c r="D49" s="4" t="s">
        <v>263</v>
      </c>
      <c r="E49" s="3" t="s">
        <v>148</v>
      </c>
      <c r="F49" s="5"/>
      <c r="G49" s="6">
        <v>3</v>
      </c>
      <c r="H49" s="7" t="s">
        <v>15</v>
      </c>
      <c r="I49" s="1" t="s">
        <v>144</v>
      </c>
      <c r="J49" s="1"/>
      <c r="K49" s="1"/>
      <c r="L49" s="1" t="s">
        <v>144</v>
      </c>
      <c r="M49" s="10">
        <f>Tableau3[[#This Row],[CODE]]</f>
        <v>1006</v>
      </c>
    </row>
    <row r="50" spans="1:13" ht="22.5">
      <c r="A50" s="3">
        <v>5037</v>
      </c>
      <c r="B50" s="9" t="s">
        <v>264</v>
      </c>
      <c r="C50" s="3" t="s">
        <v>265</v>
      </c>
      <c r="D50" s="4" t="s">
        <v>266</v>
      </c>
      <c r="E50" s="3" t="s">
        <v>182</v>
      </c>
      <c r="F50" s="5" t="s">
        <v>267</v>
      </c>
      <c r="G50" s="6">
        <v>13.67</v>
      </c>
      <c r="H50" s="7" t="s">
        <v>14</v>
      </c>
      <c r="I50" s="1"/>
      <c r="J50" s="1"/>
      <c r="K50" s="1"/>
      <c r="L50" s="1"/>
      <c r="M50" s="10">
        <f>Tableau3[[#This Row],[CODE]]</f>
        <v>5037</v>
      </c>
    </row>
    <row r="51" spans="1:13" ht="22.5">
      <c r="A51" s="3">
        <v>5037</v>
      </c>
      <c r="B51" s="9" t="s">
        <v>268</v>
      </c>
      <c r="C51" s="3" t="s">
        <v>265</v>
      </c>
      <c r="D51" s="4" t="s">
        <v>269</v>
      </c>
      <c r="E51" s="3" t="s">
        <v>182</v>
      </c>
      <c r="F51" s="5" t="s">
        <v>267</v>
      </c>
      <c r="G51" s="6">
        <v>33.549999999999997</v>
      </c>
      <c r="H51" s="7" t="s">
        <v>14</v>
      </c>
      <c r="I51" s="1"/>
      <c r="J51" s="1"/>
      <c r="K51" s="1"/>
      <c r="L51" s="1"/>
      <c r="M51" s="10">
        <f>Tableau3[[#This Row],[CODE]]</f>
        <v>5037</v>
      </c>
    </row>
    <row r="52" spans="1:13" ht="22.5">
      <c r="A52" s="3">
        <v>6019</v>
      </c>
      <c r="B52" s="9" t="s">
        <v>270</v>
      </c>
      <c r="C52" s="3" t="s">
        <v>174</v>
      </c>
      <c r="D52" s="4" t="s">
        <v>271</v>
      </c>
      <c r="E52" s="3" t="s">
        <v>176</v>
      </c>
      <c r="F52" s="5" t="s">
        <v>153</v>
      </c>
      <c r="G52" s="6">
        <v>36.96</v>
      </c>
      <c r="H52" s="7" t="s">
        <v>18</v>
      </c>
      <c r="I52" s="1"/>
      <c r="J52" s="1"/>
      <c r="K52" s="1"/>
      <c r="L52" s="1"/>
      <c r="M52" s="10">
        <f>Tableau3[[#This Row],[CODE]]</f>
        <v>6019</v>
      </c>
    </row>
    <row r="53" spans="1:13" ht="22.5">
      <c r="A53" s="3">
        <v>6019</v>
      </c>
      <c r="B53" s="9" t="s">
        <v>272</v>
      </c>
      <c r="C53" s="3" t="s">
        <v>174</v>
      </c>
      <c r="D53" s="4" t="s">
        <v>273</v>
      </c>
      <c r="E53" s="3" t="s">
        <v>176</v>
      </c>
      <c r="F53" s="5" t="s">
        <v>153</v>
      </c>
      <c r="G53" s="6">
        <v>15.04</v>
      </c>
      <c r="H53" s="7" t="s">
        <v>19</v>
      </c>
      <c r="I53" s="1"/>
      <c r="J53" s="1"/>
      <c r="K53" s="1"/>
      <c r="L53" s="1"/>
      <c r="M53" s="10">
        <f>Tableau3[[#This Row],[CODE]]</f>
        <v>6019</v>
      </c>
    </row>
    <row r="54" spans="1:13">
      <c r="A54" s="3">
        <v>3421</v>
      </c>
      <c r="B54" s="9" t="s">
        <v>274</v>
      </c>
      <c r="C54" s="3" t="s">
        <v>174</v>
      </c>
      <c r="D54" s="4" t="s">
        <v>275</v>
      </c>
      <c r="E54" s="3" t="s">
        <v>176</v>
      </c>
      <c r="F54" s="5" t="s">
        <v>153</v>
      </c>
      <c r="G54" s="6">
        <v>2.71</v>
      </c>
      <c r="H54" s="7" t="s">
        <v>15</v>
      </c>
      <c r="I54" s="1" t="s">
        <v>144</v>
      </c>
      <c r="J54" s="1" t="s">
        <v>144</v>
      </c>
      <c r="K54" s="1" t="s">
        <v>144</v>
      </c>
      <c r="L54" s="1" t="s">
        <v>144</v>
      </c>
      <c r="M54" s="10">
        <f>Tableau3[[#This Row],[CODE]]</f>
        <v>3421</v>
      </c>
    </row>
    <row r="55" spans="1:13">
      <c r="A55" s="3">
        <v>6094</v>
      </c>
      <c r="B55" s="9" t="s">
        <v>276</v>
      </c>
      <c r="C55" s="3" t="s">
        <v>171</v>
      </c>
      <c r="D55" s="4" t="s">
        <v>277</v>
      </c>
      <c r="E55" s="3" t="s">
        <v>148</v>
      </c>
      <c r="F55" s="5"/>
      <c r="G55" s="6">
        <v>1.22</v>
      </c>
      <c r="H55" s="7" t="s">
        <v>15</v>
      </c>
      <c r="I55" s="1" t="s">
        <v>144</v>
      </c>
      <c r="J55" s="1" t="s">
        <v>144</v>
      </c>
      <c r="K55" s="1" t="s">
        <v>144</v>
      </c>
      <c r="L55" s="1" t="s">
        <v>144</v>
      </c>
      <c r="M55" s="10">
        <f>Tableau3[[#This Row],[CODE]]</f>
        <v>6094</v>
      </c>
    </row>
    <row r="56" spans="1:13">
      <c r="A56" s="3">
        <v>1023</v>
      </c>
      <c r="B56" s="9" t="s">
        <v>278</v>
      </c>
      <c r="C56" s="3" t="s">
        <v>171</v>
      </c>
      <c r="D56" s="4" t="s">
        <v>279</v>
      </c>
      <c r="E56" s="3" t="s">
        <v>148</v>
      </c>
      <c r="F56" s="5"/>
      <c r="G56" s="6">
        <v>3.14</v>
      </c>
      <c r="H56" s="7" t="s">
        <v>15</v>
      </c>
      <c r="I56" s="1" t="s">
        <v>144</v>
      </c>
      <c r="J56" s="1" t="s">
        <v>144</v>
      </c>
      <c r="K56" s="1" t="s">
        <v>144</v>
      </c>
      <c r="L56" s="1" t="s">
        <v>144</v>
      </c>
      <c r="M56" s="10">
        <f>Tableau3[[#This Row],[CODE]]</f>
        <v>1023</v>
      </c>
    </row>
    <row r="57" spans="1:13">
      <c r="A57" s="3">
        <v>3169</v>
      </c>
      <c r="B57" s="9" t="s">
        <v>280</v>
      </c>
      <c r="C57" s="3" t="s">
        <v>174</v>
      </c>
      <c r="D57" s="4" t="s">
        <v>281</v>
      </c>
      <c r="E57" s="3" t="s">
        <v>176</v>
      </c>
      <c r="F57" s="5" t="s">
        <v>153</v>
      </c>
      <c r="G57" s="6">
        <v>3.14</v>
      </c>
      <c r="H57" s="7" t="s">
        <v>15</v>
      </c>
      <c r="I57" s="1" t="s">
        <v>144</v>
      </c>
      <c r="J57" s="1" t="s">
        <v>144</v>
      </c>
      <c r="K57" s="1"/>
      <c r="L57" s="1" t="s">
        <v>144</v>
      </c>
      <c r="M57" s="10">
        <f>Tableau3[[#This Row],[CODE]]</f>
        <v>3169</v>
      </c>
    </row>
    <row r="58" spans="1:13" ht="22.5">
      <c r="A58" s="3">
        <v>1103</v>
      </c>
      <c r="B58" s="9" t="s">
        <v>282</v>
      </c>
      <c r="C58" s="3" t="s">
        <v>171</v>
      </c>
      <c r="D58" s="4" t="s">
        <v>283</v>
      </c>
      <c r="E58" s="3" t="s">
        <v>148</v>
      </c>
      <c r="F58" s="5" t="s">
        <v>153</v>
      </c>
      <c r="G58" s="6">
        <v>3.41</v>
      </c>
      <c r="H58" s="7" t="s">
        <v>15</v>
      </c>
      <c r="I58" s="1" t="s">
        <v>144</v>
      </c>
      <c r="J58" s="1" t="s">
        <v>144</v>
      </c>
      <c r="K58" s="1"/>
      <c r="L58" s="1" t="s">
        <v>144</v>
      </c>
      <c r="M58" s="10">
        <f>Tableau3[[#This Row],[CODE]]</f>
        <v>1103</v>
      </c>
    </row>
    <row r="59" spans="1:13" ht="22.5">
      <c r="A59" s="3">
        <v>3725</v>
      </c>
      <c r="B59" s="9" t="s">
        <v>284</v>
      </c>
      <c r="C59" s="3" t="s">
        <v>174</v>
      </c>
      <c r="D59" s="4" t="s">
        <v>285</v>
      </c>
      <c r="E59" s="3" t="s">
        <v>176</v>
      </c>
      <c r="F59" s="5"/>
      <c r="G59" s="6">
        <v>2.59</v>
      </c>
      <c r="H59" s="7" t="s">
        <v>14</v>
      </c>
      <c r="I59" s="1"/>
      <c r="J59" s="1"/>
      <c r="K59" s="1"/>
      <c r="L59" s="1"/>
      <c r="M59" s="10">
        <f>Tableau3[[#This Row],[CODE]]</f>
        <v>3725</v>
      </c>
    </row>
    <row r="60" spans="1:13">
      <c r="A60" s="3">
        <v>3391</v>
      </c>
      <c r="B60" s="9" t="s">
        <v>286</v>
      </c>
      <c r="C60" s="3" t="s">
        <v>287</v>
      </c>
      <c r="D60" s="4" t="s">
        <v>288</v>
      </c>
      <c r="E60" s="3" t="s">
        <v>289</v>
      </c>
      <c r="F60" s="5" t="s">
        <v>153</v>
      </c>
      <c r="G60" s="6">
        <v>4.51</v>
      </c>
      <c r="H60" s="7" t="s">
        <v>14</v>
      </c>
      <c r="I60" s="1" t="s">
        <v>144</v>
      </c>
      <c r="J60" s="1" t="s">
        <v>144</v>
      </c>
      <c r="K60" s="1"/>
      <c r="L60" s="1"/>
      <c r="M60" s="10">
        <f>Tableau3[[#This Row],[CODE]]</f>
        <v>3391</v>
      </c>
    </row>
    <row r="61" spans="1:13">
      <c r="A61" s="3">
        <v>3924</v>
      </c>
      <c r="B61" s="9" t="s">
        <v>290</v>
      </c>
      <c r="C61" s="3" t="s">
        <v>174</v>
      </c>
      <c r="D61" s="4" t="s">
        <v>291</v>
      </c>
      <c r="E61" s="3" t="s">
        <v>176</v>
      </c>
      <c r="F61" s="5" t="s">
        <v>153</v>
      </c>
      <c r="G61" s="6">
        <v>2.71</v>
      </c>
      <c r="H61" s="7" t="s">
        <v>15</v>
      </c>
      <c r="I61" s="1" t="s">
        <v>144</v>
      </c>
      <c r="J61" s="1" t="s">
        <v>144</v>
      </c>
      <c r="K61" s="1"/>
      <c r="L61" s="1" t="s">
        <v>144</v>
      </c>
      <c r="M61" s="10">
        <f>Tableau3[[#This Row],[CODE]]</f>
        <v>3924</v>
      </c>
    </row>
    <row r="62" spans="1:13">
      <c r="A62" s="3">
        <v>6077</v>
      </c>
      <c r="B62" s="9" t="s">
        <v>292</v>
      </c>
      <c r="C62" s="3" t="s">
        <v>171</v>
      </c>
      <c r="D62" s="4" t="s">
        <v>293</v>
      </c>
      <c r="E62" s="3" t="s">
        <v>146</v>
      </c>
      <c r="F62" s="5"/>
      <c r="G62" s="6">
        <v>1.7</v>
      </c>
      <c r="H62" s="7" t="s">
        <v>15</v>
      </c>
      <c r="I62" s="1" t="s">
        <v>144</v>
      </c>
      <c r="J62" s="1"/>
      <c r="K62" s="1"/>
      <c r="L62" s="1" t="s">
        <v>144</v>
      </c>
      <c r="M62" s="10">
        <f>Tableau3[[#This Row],[CODE]]</f>
        <v>6077</v>
      </c>
    </row>
    <row r="63" spans="1:13" ht="33.75">
      <c r="A63" s="3">
        <v>6111</v>
      </c>
      <c r="B63" s="9" t="s">
        <v>294</v>
      </c>
      <c r="C63" s="3" t="s">
        <v>295</v>
      </c>
      <c r="D63" s="4" t="s">
        <v>296</v>
      </c>
      <c r="E63" s="3" t="s">
        <v>297</v>
      </c>
      <c r="F63" s="5"/>
      <c r="G63" s="6">
        <v>7.38</v>
      </c>
      <c r="H63" s="7" t="s">
        <v>14</v>
      </c>
      <c r="I63" s="1"/>
      <c r="J63" s="1"/>
      <c r="K63" s="1"/>
      <c r="L63" s="1"/>
      <c r="M63" s="10">
        <f>Tableau3[[#This Row],[CODE]]</f>
        <v>6111</v>
      </c>
    </row>
    <row r="64" spans="1:13">
      <c r="A64" s="3">
        <v>1393</v>
      </c>
      <c r="B64" s="9" t="s">
        <v>298</v>
      </c>
      <c r="C64" s="3" t="s">
        <v>230</v>
      </c>
      <c r="D64" s="4" t="s">
        <v>299</v>
      </c>
      <c r="E64" s="3" t="s">
        <v>232</v>
      </c>
      <c r="F64" s="5" t="s">
        <v>153</v>
      </c>
      <c r="G64" s="6">
        <v>9.56</v>
      </c>
      <c r="H64" s="7" t="s">
        <v>14</v>
      </c>
      <c r="I64" s="1" t="s">
        <v>144</v>
      </c>
      <c r="J64" s="1"/>
      <c r="K64" s="1"/>
      <c r="L64" s="1"/>
      <c r="M64" s="10">
        <f>Tableau3[[#This Row],[CODE]]</f>
        <v>1393</v>
      </c>
    </row>
    <row r="65" spans="1:13">
      <c r="A65" s="3">
        <v>3227</v>
      </c>
      <c r="B65" s="9" t="s">
        <v>300</v>
      </c>
      <c r="C65" s="3" t="s">
        <v>301</v>
      </c>
      <c r="D65" s="4" t="s">
        <v>302</v>
      </c>
      <c r="E65" s="3" t="s">
        <v>303</v>
      </c>
      <c r="F65" s="5" t="s">
        <v>267</v>
      </c>
      <c r="G65" s="6">
        <v>8.89</v>
      </c>
      <c r="H65" s="7" t="s">
        <v>15</v>
      </c>
      <c r="I65" s="1" t="s">
        <v>144</v>
      </c>
      <c r="J65" s="1" t="s">
        <v>144</v>
      </c>
      <c r="K65" s="1"/>
      <c r="L65" s="1"/>
      <c r="M65" s="10">
        <f>Tableau3[[#This Row],[CODE]]</f>
        <v>3227</v>
      </c>
    </row>
    <row r="66" spans="1:13">
      <c r="A66" s="3">
        <v>6018</v>
      </c>
      <c r="B66" s="9" t="s">
        <v>304</v>
      </c>
      <c r="C66" s="3" t="s">
        <v>301</v>
      </c>
      <c r="D66" s="4" t="s">
        <v>305</v>
      </c>
      <c r="E66" s="3" t="s">
        <v>303</v>
      </c>
      <c r="F66" s="5" t="s">
        <v>153</v>
      </c>
      <c r="G66" s="6">
        <v>12.3</v>
      </c>
      <c r="H66" s="7" t="s">
        <v>15</v>
      </c>
      <c r="I66" s="1" t="s">
        <v>144</v>
      </c>
      <c r="J66" s="1" t="s">
        <v>144</v>
      </c>
      <c r="K66" s="1"/>
      <c r="L66" s="1"/>
      <c r="M66" s="10">
        <f>Tableau3[[#This Row],[CODE]]</f>
        <v>6018</v>
      </c>
    </row>
    <row r="67" spans="1:13">
      <c r="A67" s="3">
        <v>1320</v>
      </c>
      <c r="B67" s="9" t="s">
        <v>306</v>
      </c>
      <c r="C67" s="3" t="s">
        <v>307</v>
      </c>
      <c r="D67" s="4" t="s">
        <v>308</v>
      </c>
      <c r="E67" s="3" t="s">
        <v>309</v>
      </c>
      <c r="F67" s="5" t="s">
        <v>153</v>
      </c>
      <c r="G67" s="6">
        <v>10.93</v>
      </c>
      <c r="H67" s="7" t="s">
        <v>15</v>
      </c>
      <c r="I67" s="1" t="s">
        <v>144</v>
      </c>
      <c r="J67" s="1"/>
      <c r="K67" s="1"/>
      <c r="L67" s="1"/>
      <c r="M67" s="10">
        <f>Tableau3[[#This Row],[CODE]]</f>
        <v>1320</v>
      </c>
    </row>
    <row r="68" spans="1:13">
      <c r="A68" s="3">
        <v>1399</v>
      </c>
      <c r="B68" s="9" t="s">
        <v>310</v>
      </c>
      <c r="C68" s="3" t="s">
        <v>311</v>
      </c>
      <c r="D68" s="4" t="s">
        <v>312</v>
      </c>
      <c r="E68" s="3" t="s">
        <v>313</v>
      </c>
      <c r="F68" s="5" t="s">
        <v>153</v>
      </c>
      <c r="G68" s="6">
        <v>4.6399999999999997</v>
      </c>
      <c r="H68" s="7" t="s">
        <v>16</v>
      </c>
      <c r="I68" s="1" t="s">
        <v>144</v>
      </c>
      <c r="J68" s="1" t="s">
        <v>144</v>
      </c>
      <c r="K68" s="1" t="s">
        <v>144</v>
      </c>
      <c r="L68" s="1"/>
      <c r="M68" s="10">
        <f>Tableau3[[#This Row],[CODE]]</f>
        <v>1399</v>
      </c>
    </row>
    <row r="69" spans="1:13">
      <c r="A69" s="3" t="s">
        <v>314</v>
      </c>
      <c r="B69" s="9" t="s">
        <v>315</v>
      </c>
      <c r="C69" s="3" t="s">
        <v>301</v>
      </c>
      <c r="D69" s="4" t="s">
        <v>316</v>
      </c>
      <c r="E69" s="3" t="s">
        <v>303</v>
      </c>
      <c r="F69" s="5" t="s">
        <v>153</v>
      </c>
      <c r="G69" s="6">
        <v>27.37</v>
      </c>
      <c r="H69" s="7" t="s">
        <v>15</v>
      </c>
      <c r="I69" s="1" t="s">
        <v>144</v>
      </c>
      <c r="J69" s="1"/>
      <c r="K69" s="1"/>
      <c r="L69" s="1"/>
      <c r="M69" s="10" t="str">
        <f>Tableau3[[#This Row],[CODE]]</f>
        <v>1997</v>
      </c>
    </row>
    <row r="70" spans="1:13" ht="33.75">
      <c r="A70" s="3">
        <v>3377</v>
      </c>
      <c r="B70" s="9" t="s">
        <v>317</v>
      </c>
      <c r="C70" s="3" t="s">
        <v>318</v>
      </c>
      <c r="D70" s="4" t="s">
        <v>319</v>
      </c>
      <c r="E70" s="3" t="s">
        <v>320</v>
      </c>
      <c r="F70" s="5" t="s">
        <v>153</v>
      </c>
      <c r="G70" s="6">
        <v>10</v>
      </c>
      <c r="H70" s="7" t="s">
        <v>14</v>
      </c>
      <c r="I70" s="1"/>
      <c r="J70" s="1"/>
      <c r="K70" s="1"/>
      <c r="L70" s="1"/>
      <c r="M70" s="10">
        <f>Tableau3[[#This Row],[CODE]]</f>
        <v>3377</v>
      </c>
    </row>
    <row r="71" spans="1:13" ht="33.75">
      <c r="A71" s="3">
        <v>3720</v>
      </c>
      <c r="B71" s="9" t="s">
        <v>321</v>
      </c>
      <c r="C71" s="3" t="s">
        <v>318</v>
      </c>
      <c r="D71" s="4" t="s">
        <v>322</v>
      </c>
      <c r="E71" s="3" t="s">
        <v>320</v>
      </c>
      <c r="F71" s="5" t="s">
        <v>153</v>
      </c>
      <c r="G71" s="6">
        <v>30</v>
      </c>
      <c r="H71" s="7" t="s">
        <v>14</v>
      </c>
      <c r="I71" s="1"/>
      <c r="J71" s="1"/>
      <c r="K71" s="1"/>
      <c r="L71" s="1"/>
      <c r="M71" s="10">
        <f>Tableau3[[#This Row],[CODE]]</f>
        <v>3720</v>
      </c>
    </row>
    <row r="72" spans="1:13" ht="33.75">
      <c r="A72" s="3">
        <v>3379</v>
      </c>
      <c r="B72" s="9" t="s">
        <v>323</v>
      </c>
      <c r="C72" s="3" t="s">
        <v>318</v>
      </c>
      <c r="D72" s="4" t="s">
        <v>324</v>
      </c>
      <c r="E72" s="3" t="s">
        <v>320</v>
      </c>
      <c r="F72" s="5" t="s">
        <v>153</v>
      </c>
      <c r="G72" s="6">
        <v>45</v>
      </c>
      <c r="H72" s="7" t="s">
        <v>14</v>
      </c>
      <c r="I72" s="1"/>
      <c r="J72" s="1"/>
      <c r="K72" s="1"/>
      <c r="L72" s="1"/>
      <c r="M72" s="10">
        <f>Tableau3[[#This Row],[CODE]]</f>
        <v>3379</v>
      </c>
    </row>
    <row r="73" spans="1:13">
      <c r="A73" s="3">
        <v>3550</v>
      </c>
      <c r="B73" s="9" t="s">
        <v>325</v>
      </c>
      <c r="C73" s="3" t="s">
        <v>171</v>
      </c>
      <c r="D73" s="4" t="s">
        <v>326</v>
      </c>
      <c r="E73" s="3" t="s">
        <v>148</v>
      </c>
      <c r="F73" s="5"/>
      <c r="G73" s="6">
        <v>1.34</v>
      </c>
      <c r="H73" s="7" t="s">
        <v>14</v>
      </c>
      <c r="I73" s="1"/>
      <c r="J73" s="1"/>
      <c r="K73" s="1"/>
      <c r="L73" s="1"/>
      <c r="M73" s="10">
        <f>Tableau3[[#This Row],[CODE]]</f>
        <v>3550</v>
      </c>
    </row>
    <row r="74" spans="1:13" ht="22.5">
      <c r="A74" s="3">
        <v>4025</v>
      </c>
      <c r="B74" s="9" t="s">
        <v>327</v>
      </c>
      <c r="C74" s="3" t="s">
        <v>328</v>
      </c>
      <c r="D74" s="4" t="s">
        <v>329</v>
      </c>
      <c r="E74" s="3" t="s">
        <v>330</v>
      </c>
      <c r="F74" s="5" t="s">
        <v>153</v>
      </c>
      <c r="G74" s="6">
        <v>1000</v>
      </c>
      <c r="H74" s="7" t="s">
        <v>14</v>
      </c>
      <c r="I74" s="1"/>
      <c r="J74" s="1"/>
      <c r="K74" s="1"/>
      <c r="L74" s="1"/>
      <c r="M74" s="10">
        <f>Tableau3[[#This Row],[CODE]]</f>
        <v>4025</v>
      </c>
    </row>
    <row r="75" spans="1:13">
      <c r="A75" s="3">
        <v>6106</v>
      </c>
      <c r="B75" s="9" t="s">
        <v>331</v>
      </c>
      <c r="C75" s="3" t="s">
        <v>332</v>
      </c>
      <c r="D75" s="4" t="s">
        <v>333</v>
      </c>
      <c r="E75" s="3" t="s">
        <v>334</v>
      </c>
      <c r="F75" s="5" t="s">
        <v>153</v>
      </c>
      <c r="G75" s="6">
        <v>12.3</v>
      </c>
      <c r="H75" s="7" t="s">
        <v>14</v>
      </c>
      <c r="I75" s="1"/>
      <c r="J75" s="1"/>
      <c r="K75" s="1"/>
      <c r="L75" s="1"/>
      <c r="M75" s="10">
        <f>Tableau3[[#This Row],[CODE]]</f>
        <v>6106</v>
      </c>
    </row>
    <row r="76" spans="1:13" ht="22.5">
      <c r="A76" s="3">
        <v>3177</v>
      </c>
      <c r="B76" s="9" t="s">
        <v>335</v>
      </c>
      <c r="C76" s="3" t="s">
        <v>336</v>
      </c>
      <c r="D76" s="4" t="s">
        <v>337</v>
      </c>
      <c r="E76" s="3" t="s">
        <v>338</v>
      </c>
      <c r="F76" s="5" t="s">
        <v>153</v>
      </c>
      <c r="G76" s="6">
        <v>8.19</v>
      </c>
      <c r="H76" s="7" t="s">
        <v>15</v>
      </c>
      <c r="I76" s="1" t="s">
        <v>144</v>
      </c>
      <c r="J76" s="1"/>
      <c r="K76" s="1"/>
      <c r="L76" s="1"/>
      <c r="M76" s="10">
        <f>Tableau3[[#This Row],[CODE]]</f>
        <v>3177</v>
      </c>
    </row>
    <row r="77" spans="1:13">
      <c r="A77" s="3">
        <v>3138</v>
      </c>
      <c r="B77" s="9" t="s">
        <v>339</v>
      </c>
      <c r="C77" s="3" t="s">
        <v>174</v>
      </c>
      <c r="D77" s="4" t="s">
        <v>340</v>
      </c>
      <c r="E77" s="3" t="s">
        <v>176</v>
      </c>
      <c r="F77" s="5" t="s">
        <v>153</v>
      </c>
      <c r="G77" s="6">
        <v>5.45</v>
      </c>
      <c r="H77" s="7" t="s">
        <v>15</v>
      </c>
      <c r="I77" s="1" t="s">
        <v>144</v>
      </c>
      <c r="J77" s="1" t="s">
        <v>144</v>
      </c>
      <c r="K77" s="1"/>
      <c r="L77" s="1"/>
      <c r="M77" s="10">
        <f>Tableau3[[#This Row],[CODE]]</f>
        <v>3138</v>
      </c>
    </row>
    <row r="78" spans="1:13" ht="22.5">
      <c r="A78" s="3">
        <v>1119</v>
      </c>
      <c r="B78" s="9" t="s">
        <v>341</v>
      </c>
      <c r="C78" s="3" t="s">
        <v>174</v>
      </c>
      <c r="D78" s="4" t="s">
        <v>342</v>
      </c>
      <c r="E78" s="3" t="s">
        <v>176</v>
      </c>
      <c r="F78" s="5" t="s">
        <v>343</v>
      </c>
      <c r="G78" s="6">
        <v>8.07</v>
      </c>
      <c r="H78" s="7" t="s">
        <v>15</v>
      </c>
      <c r="I78" s="1" t="s">
        <v>144</v>
      </c>
      <c r="J78" s="1"/>
      <c r="K78" s="1"/>
      <c r="L78" s="1" t="s">
        <v>144</v>
      </c>
      <c r="M78" s="10">
        <f>Tableau3[[#This Row],[CODE]]</f>
        <v>1119</v>
      </c>
    </row>
    <row r="79" spans="1:13" ht="22.5">
      <c r="A79" s="3">
        <v>1119</v>
      </c>
      <c r="B79" s="9" t="s">
        <v>344</v>
      </c>
      <c r="C79" s="3" t="s">
        <v>174</v>
      </c>
      <c r="D79" s="4" t="s">
        <v>345</v>
      </c>
      <c r="E79" s="3" t="s">
        <v>176</v>
      </c>
      <c r="F79" s="5"/>
      <c r="G79" s="6">
        <v>3.41</v>
      </c>
      <c r="H79" s="7" t="s">
        <v>346</v>
      </c>
      <c r="I79" s="1"/>
      <c r="J79" s="1"/>
      <c r="K79" s="1"/>
      <c r="L79" s="1"/>
      <c r="M79" s="10">
        <f>Tableau3[[#This Row],[CODE]]</f>
        <v>1119</v>
      </c>
    </row>
    <row r="80" spans="1:13" ht="22.5">
      <c r="A80" s="3" t="s">
        <v>347</v>
      </c>
      <c r="B80" s="9" t="s">
        <v>348</v>
      </c>
      <c r="C80" s="3" t="s">
        <v>174</v>
      </c>
      <c r="D80" s="4" t="s">
        <v>349</v>
      </c>
      <c r="E80" s="3" t="s">
        <v>176</v>
      </c>
      <c r="F80" s="5" t="s">
        <v>153</v>
      </c>
      <c r="G80" s="6">
        <v>7.52</v>
      </c>
      <c r="H80" s="7" t="s">
        <v>15</v>
      </c>
      <c r="I80" s="1"/>
      <c r="J80" s="1"/>
      <c r="K80" s="1"/>
      <c r="L80" s="1"/>
      <c r="M80" s="10" t="str">
        <f>Tableau3[[#This Row],[CODE]]</f>
        <v>3540-3539-5031</v>
      </c>
    </row>
    <row r="81" spans="1:13">
      <c r="A81" s="3" t="s">
        <v>350</v>
      </c>
      <c r="B81" s="9" t="s">
        <v>351</v>
      </c>
      <c r="C81" s="3" t="s">
        <v>174</v>
      </c>
      <c r="D81" s="4" t="s">
        <v>352</v>
      </c>
      <c r="E81" s="3" t="s">
        <v>176</v>
      </c>
      <c r="F81" s="5" t="s">
        <v>153</v>
      </c>
      <c r="G81" s="6">
        <v>8.19</v>
      </c>
      <c r="H81" s="7" t="s">
        <v>15</v>
      </c>
      <c r="I81" s="1"/>
      <c r="J81" s="1"/>
      <c r="K81" s="1"/>
      <c r="L81" s="1"/>
      <c r="M81" s="10" t="str">
        <f>Tableau3[[#This Row],[CODE]]</f>
        <v>1972-1615</v>
      </c>
    </row>
    <row r="82" spans="1:13" ht="22.5">
      <c r="A82" s="3">
        <v>3873</v>
      </c>
      <c r="B82" s="9" t="s">
        <v>353</v>
      </c>
      <c r="C82" s="3" t="s">
        <v>336</v>
      </c>
      <c r="D82" s="4" t="s">
        <v>354</v>
      </c>
      <c r="E82" s="3" t="s">
        <v>355</v>
      </c>
      <c r="F82" s="5" t="s">
        <v>153</v>
      </c>
      <c r="G82" s="6">
        <v>7.8</v>
      </c>
      <c r="H82" s="7" t="s">
        <v>15</v>
      </c>
      <c r="I82" s="1"/>
      <c r="J82" s="1"/>
      <c r="K82" s="1"/>
      <c r="L82" s="1"/>
      <c r="M82" s="10">
        <f>Tableau3[[#This Row],[CODE]]</f>
        <v>3873</v>
      </c>
    </row>
    <row r="83" spans="1:13" ht="22.5">
      <c r="A83" s="3">
        <v>6116</v>
      </c>
      <c r="B83" s="9" t="s">
        <v>356</v>
      </c>
      <c r="C83" s="3" t="s">
        <v>174</v>
      </c>
      <c r="D83" s="4" t="s">
        <v>357</v>
      </c>
      <c r="E83" s="3" t="s">
        <v>176</v>
      </c>
      <c r="F83" s="5" t="s">
        <v>153</v>
      </c>
      <c r="G83" s="6">
        <v>6.82</v>
      </c>
      <c r="H83" s="7" t="s">
        <v>15</v>
      </c>
      <c r="I83" s="1" t="s">
        <v>144</v>
      </c>
      <c r="J83" s="1"/>
      <c r="K83" s="1"/>
      <c r="L83" s="1" t="s">
        <v>144</v>
      </c>
      <c r="M83" s="10">
        <f>Tableau3[[#This Row],[CODE]]</f>
        <v>6116</v>
      </c>
    </row>
    <row r="84" spans="1:13">
      <c r="A84" s="3">
        <v>1548</v>
      </c>
      <c r="B84" s="9" t="s">
        <v>358</v>
      </c>
      <c r="C84" s="3" t="s">
        <v>359</v>
      </c>
      <c r="D84" s="4" t="s">
        <v>360</v>
      </c>
      <c r="E84" s="3" t="s">
        <v>361</v>
      </c>
      <c r="F84" s="5"/>
      <c r="G84" s="6">
        <v>10.4</v>
      </c>
      <c r="H84" s="7" t="s">
        <v>15</v>
      </c>
      <c r="I84" s="1" t="s">
        <v>144</v>
      </c>
      <c r="J84" s="1"/>
      <c r="K84" s="1"/>
      <c r="L84" s="1"/>
      <c r="M84" s="10">
        <f>Tableau3[[#This Row],[CODE]]</f>
        <v>1548</v>
      </c>
    </row>
    <row r="85" spans="1:13">
      <c r="A85" s="3">
        <v>1220</v>
      </c>
      <c r="B85" s="9" t="s">
        <v>362</v>
      </c>
      <c r="C85" s="3" t="s">
        <v>363</v>
      </c>
      <c r="D85" s="4" t="s">
        <v>364</v>
      </c>
      <c r="E85" s="3" t="s">
        <v>365</v>
      </c>
      <c r="F85" s="5" t="s">
        <v>153</v>
      </c>
      <c r="G85" s="6">
        <v>36.5</v>
      </c>
      <c r="H85" s="7" t="s">
        <v>15</v>
      </c>
      <c r="I85" s="1"/>
      <c r="J85" s="1"/>
      <c r="K85" s="1"/>
      <c r="L85" s="1"/>
      <c r="M85" s="10">
        <f>Tableau3[[#This Row],[CODE]]</f>
        <v>1220</v>
      </c>
    </row>
    <row r="86" spans="1:13">
      <c r="A86" s="3">
        <v>1967</v>
      </c>
      <c r="B86" s="9" t="s">
        <v>366</v>
      </c>
      <c r="C86" s="3" t="s">
        <v>230</v>
      </c>
      <c r="D86" s="4" t="s">
        <v>367</v>
      </c>
      <c r="E86" s="3" t="s">
        <v>232</v>
      </c>
      <c r="F86" s="5" t="s">
        <v>153</v>
      </c>
      <c r="G86" s="6">
        <v>7.25</v>
      </c>
      <c r="H86" s="7" t="s">
        <v>15</v>
      </c>
      <c r="I86" s="1" t="s">
        <v>144</v>
      </c>
      <c r="J86" s="1" t="s">
        <v>144</v>
      </c>
      <c r="K86" s="1"/>
      <c r="L86" s="1"/>
      <c r="M86" s="10">
        <f>Tableau3[[#This Row],[CODE]]</f>
        <v>1967</v>
      </c>
    </row>
    <row r="87" spans="1:13">
      <c r="A87" s="3">
        <v>3217</v>
      </c>
      <c r="B87" s="9" t="s">
        <v>368</v>
      </c>
      <c r="C87" s="3" t="s">
        <v>174</v>
      </c>
      <c r="D87" s="4" t="s">
        <v>369</v>
      </c>
      <c r="E87" s="3" t="s">
        <v>176</v>
      </c>
      <c r="F87" s="5"/>
      <c r="G87" s="6">
        <v>5.33</v>
      </c>
      <c r="H87" s="7" t="s">
        <v>15</v>
      </c>
      <c r="I87" s="1" t="s">
        <v>144</v>
      </c>
      <c r="J87" s="1" t="s">
        <v>144</v>
      </c>
      <c r="K87" s="1"/>
      <c r="L87" s="1"/>
      <c r="M87" s="10">
        <f>Tableau3[[#This Row],[CODE]]</f>
        <v>3217</v>
      </c>
    </row>
    <row r="88" spans="1:13" ht="22.5">
      <c r="A88" s="3">
        <v>1607</v>
      </c>
      <c r="B88" s="9" t="s">
        <v>370</v>
      </c>
      <c r="C88" s="3" t="s">
        <v>187</v>
      </c>
      <c r="D88" s="4" t="s">
        <v>371</v>
      </c>
      <c r="E88" s="3" t="s">
        <v>189</v>
      </c>
      <c r="F88" s="5" t="s">
        <v>153</v>
      </c>
      <c r="G88" s="6">
        <v>9.56</v>
      </c>
      <c r="H88" s="7" t="s">
        <v>15</v>
      </c>
      <c r="I88" s="1"/>
      <c r="J88" s="1"/>
      <c r="K88" s="1"/>
      <c r="L88" s="1"/>
      <c r="M88" s="10">
        <f>Tableau3[[#This Row],[CODE]]</f>
        <v>1607</v>
      </c>
    </row>
    <row r="89" spans="1:13" ht="22.5">
      <c r="A89" s="3">
        <v>1607</v>
      </c>
      <c r="B89" s="9" t="s">
        <v>372</v>
      </c>
      <c r="C89" s="3" t="s">
        <v>187</v>
      </c>
      <c r="D89" s="4" t="s">
        <v>373</v>
      </c>
      <c r="E89" s="3" t="s">
        <v>189</v>
      </c>
      <c r="F89" s="5" t="s">
        <v>153</v>
      </c>
      <c r="G89" s="6">
        <v>17.78</v>
      </c>
      <c r="H89" s="7" t="s">
        <v>15</v>
      </c>
      <c r="I89" s="1" t="s">
        <v>144</v>
      </c>
      <c r="J89" s="1"/>
      <c r="K89" s="1"/>
      <c r="L89" s="1"/>
      <c r="M89" s="10">
        <f>Tableau3[[#This Row],[CODE]]</f>
        <v>1607</v>
      </c>
    </row>
    <row r="90" spans="1:13">
      <c r="A90" s="3">
        <v>3209</v>
      </c>
      <c r="B90" s="9" t="s">
        <v>374</v>
      </c>
      <c r="C90" s="3" t="s">
        <v>174</v>
      </c>
      <c r="D90" s="4" t="s">
        <v>375</v>
      </c>
      <c r="E90" s="3" t="s">
        <v>176</v>
      </c>
      <c r="F90" s="5"/>
      <c r="G90" s="6">
        <v>2.71</v>
      </c>
      <c r="H90" s="7" t="s">
        <v>15</v>
      </c>
      <c r="I90" s="1" t="s">
        <v>144</v>
      </c>
      <c r="J90" s="1" t="s">
        <v>144</v>
      </c>
      <c r="K90" s="1" t="s">
        <v>144</v>
      </c>
      <c r="L90" s="1" t="s">
        <v>144</v>
      </c>
      <c r="M90" s="10">
        <f>Tableau3[[#This Row],[CODE]]</f>
        <v>3209</v>
      </c>
    </row>
    <row r="91" spans="1:13">
      <c r="A91" s="3">
        <v>1121</v>
      </c>
      <c r="B91" s="9" t="s">
        <v>376</v>
      </c>
      <c r="C91" s="3" t="s">
        <v>174</v>
      </c>
      <c r="D91" s="4" t="s">
        <v>377</v>
      </c>
      <c r="E91" s="3" t="s">
        <v>176</v>
      </c>
      <c r="F91" s="5" t="s">
        <v>153</v>
      </c>
      <c r="G91" s="6">
        <v>3.82</v>
      </c>
      <c r="H91" s="7" t="s">
        <v>15</v>
      </c>
      <c r="I91" s="1" t="s">
        <v>144</v>
      </c>
      <c r="J91" s="1" t="s">
        <v>144</v>
      </c>
      <c r="K91" s="1" t="s">
        <v>144</v>
      </c>
      <c r="L91" s="1" t="s">
        <v>144</v>
      </c>
      <c r="M91" s="10">
        <f>Tableau3[[#This Row],[CODE]]</f>
        <v>1121</v>
      </c>
    </row>
    <row r="92" spans="1:13">
      <c r="A92" s="3">
        <v>6064</v>
      </c>
      <c r="B92" s="9" t="s">
        <v>378</v>
      </c>
      <c r="C92" s="3" t="s">
        <v>171</v>
      </c>
      <c r="D92" s="4" t="s">
        <v>379</v>
      </c>
      <c r="E92" s="3" t="s">
        <v>148</v>
      </c>
      <c r="F92" s="5" t="s">
        <v>153</v>
      </c>
      <c r="G92" s="6">
        <v>41.07</v>
      </c>
      <c r="H92" s="8" t="s">
        <v>17</v>
      </c>
      <c r="I92" s="1"/>
      <c r="J92" s="1"/>
      <c r="K92" s="1"/>
      <c r="L92" s="1"/>
      <c r="M92" s="10">
        <f>Tableau3[[#This Row],[CODE]]</f>
        <v>6064</v>
      </c>
    </row>
    <row r="93" spans="1:13">
      <c r="A93" s="3">
        <v>3704</v>
      </c>
      <c r="B93" s="9" t="s">
        <v>380</v>
      </c>
      <c r="C93" s="3" t="s">
        <v>174</v>
      </c>
      <c r="D93" s="4" t="s">
        <v>381</v>
      </c>
      <c r="E93" s="3" t="s">
        <v>176</v>
      </c>
      <c r="F93" s="5"/>
      <c r="G93" s="6">
        <v>5.88</v>
      </c>
      <c r="H93" s="7" t="s">
        <v>15</v>
      </c>
      <c r="I93" s="1" t="s">
        <v>144</v>
      </c>
      <c r="J93" s="1" t="s">
        <v>144</v>
      </c>
      <c r="K93" s="1"/>
      <c r="L93" s="1" t="s">
        <v>144</v>
      </c>
      <c r="M93" s="10">
        <f>Tableau3[[#This Row],[CODE]]</f>
        <v>3704</v>
      </c>
    </row>
    <row r="94" spans="1:13" ht="22.5">
      <c r="A94" s="3" t="s">
        <v>382</v>
      </c>
      <c r="B94" s="9" t="s">
        <v>383</v>
      </c>
      <c r="C94" s="3" t="s">
        <v>174</v>
      </c>
      <c r="D94" s="4" t="s">
        <v>384</v>
      </c>
      <c r="E94" s="3" t="s">
        <v>176</v>
      </c>
      <c r="F94" s="5" t="s">
        <v>267</v>
      </c>
      <c r="G94" s="6">
        <v>3.41</v>
      </c>
      <c r="H94" s="7" t="s">
        <v>15</v>
      </c>
      <c r="I94" s="1" t="s">
        <v>144</v>
      </c>
      <c r="J94" s="1" t="s">
        <v>144</v>
      </c>
      <c r="K94" s="1"/>
      <c r="L94" s="1" t="s">
        <v>144</v>
      </c>
      <c r="M94" s="10" t="str">
        <f>Tableau3[[#This Row],[CODE]]</f>
        <v>3601-5043-3261</v>
      </c>
    </row>
    <row r="95" spans="1:13">
      <c r="A95" s="3">
        <v>3265</v>
      </c>
      <c r="B95" s="9" t="s">
        <v>385</v>
      </c>
      <c r="C95" s="3" t="s">
        <v>174</v>
      </c>
      <c r="D95" s="4" t="s">
        <v>386</v>
      </c>
      <c r="E95" s="3" t="s">
        <v>176</v>
      </c>
      <c r="F95" s="5" t="s">
        <v>153</v>
      </c>
      <c r="G95" s="6">
        <v>3.55</v>
      </c>
      <c r="H95" s="7" t="s">
        <v>15</v>
      </c>
      <c r="I95" s="1" t="s">
        <v>198</v>
      </c>
      <c r="J95" s="1"/>
      <c r="K95" s="1"/>
      <c r="L95" s="1" t="s">
        <v>198</v>
      </c>
      <c r="M95" s="10">
        <f>Tableau3[[#This Row],[CODE]]</f>
        <v>3265</v>
      </c>
    </row>
    <row r="96" spans="1:13">
      <c r="A96" s="3">
        <v>1618</v>
      </c>
      <c r="B96" s="9" t="s">
        <v>387</v>
      </c>
      <c r="C96" s="3" t="s">
        <v>174</v>
      </c>
      <c r="D96" s="4" t="s">
        <v>387</v>
      </c>
      <c r="E96" s="3" t="s">
        <v>176</v>
      </c>
      <c r="F96" s="5" t="s">
        <v>153</v>
      </c>
      <c r="G96" s="6">
        <v>4.2300000000000004</v>
      </c>
      <c r="H96" s="7" t="s">
        <v>15</v>
      </c>
      <c r="I96" s="1" t="s">
        <v>144</v>
      </c>
      <c r="J96" s="1"/>
      <c r="K96" s="1"/>
      <c r="L96" s="1"/>
      <c r="M96" s="10">
        <f>Tableau3[[#This Row],[CODE]]</f>
        <v>1618</v>
      </c>
    </row>
    <row r="97" spans="1:13">
      <c r="A97" s="3">
        <v>3159</v>
      </c>
      <c r="B97" s="9" t="s">
        <v>388</v>
      </c>
      <c r="C97" s="3" t="s">
        <v>174</v>
      </c>
      <c r="D97" s="4" t="s">
        <v>389</v>
      </c>
      <c r="E97" s="3" t="s">
        <v>176</v>
      </c>
      <c r="F97" s="5"/>
      <c r="G97" s="6">
        <v>4.78</v>
      </c>
      <c r="H97" s="7" t="s">
        <v>15</v>
      </c>
      <c r="I97" s="1" t="s">
        <v>144</v>
      </c>
      <c r="J97" s="1" t="s">
        <v>144</v>
      </c>
      <c r="K97" s="1"/>
      <c r="L97" s="1" t="s">
        <v>144</v>
      </c>
      <c r="M97" s="10">
        <f>Tableau3[[#This Row],[CODE]]</f>
        <v>3159</v>
      </c>
    </row>
    <row r="98" spans="1:13" ht="22.5">
      <c r="A98" s="3">
        <v>3418</v>
      </c>
      <c r="B98" s="9" t="s">
        <v>390</v>
      </c>
      <c r="C98" s="3" t="s">
        <v>391</v>
      </c>
      <c r="D98" s="4" t="s">
        <v>390</v>
      </c>
      <c r="E98" s="3" t="s">
        <v>392</v>
      </c>
      <c r="F98" s="5"/>
      <c r="G98" s="6">
        <v>6.15</v>
      </c>
      <c r="H98" s="7" t="s">
        <v>15</v>
      </c>
      <c r="I98" s="1" t="s">
        <v>144</v>
      </c>
      <c r="J98" s="1"/>
      <c r="K98" s="1"/>
      <c r="L98" s="1" t="s">
        <v>144</v>
      </c>
      <c r="M98" s="10">
        <f>Tableau3[[#This Row],[CODE]]</f>
        <v>3418</v>
      </c>
    </row>
    <row r="99" spans="1:13" ht="22.5">
      <c r="A99" s="3">
        <v>3941</v>
      </c>
      <c r="B99" s="9" t="s">
        <v>393</v>
      </c>
      <c r="C99" s="3" t="s">
        <v>391</v>
      </c>
      <c r="D99" s="4" t="s">
        <v>394</v>
      </c>
      <c r="E99" s="3" t="s">
        <v>392</v>
      </c>
      <c r="F99" s="5"/>
      <c r="G99" s="6">
        <v>9.44</v>
      </c>
      <c r="H99" s="7" t="s">
        <v>15</v>
      </c>
      <c r="I99" s="1"/>
      <c r="J99" s="1"/>
      <c r="K99" s="1"/>
      <c r="L99" s="1" t="s">
        <v>144</v>
      </c>
      <c r="M99" s="10">
        <f>Tableau3[[#This Row],[CODE]]</f>
        <v>3941</v>
      </c>
    </row>
    <row r="100" spans="1:13" ht="22.5">
      <c r="A100" s="3" t="s">
        <v>395</v>
      </c>
      <c r="B100" s="9" t="s">
        <v>396</v>
      </c>
      <c r="C100" s="3" t="s">
        <v>397</v>
      </c>
      <c r="D100" s="4" t="s">
        <v>396</v>
      </c>
      <c r="E100" s="3" t="s">
        <v>392</v>
      </c>
      <c r="F100" s="5"/>
      <c r="G100" s="6">
        <v>6.82</v>
      </c>
      <c r="H100" s="7" t="s">
        <v>15</v>
      </c>
      <c r="I100" s="1" t="s">
        <v>144</v>
      </c>
      <c r="J100" s="1"/>
      <c r="K100" s="1"/>
      <c r="L100" s="1" t="s">
        <v>144</v>
      </c>
      <c r="M100" s="10" t="str">
        <f>Tableau3[[#This Row],[CODE]]</f>
        <v>1020-1961</v>
      </c>
    </row>
    <row r="101" spans="1:13">
      <c r="A101" s="3">
        <v>1755</v>
      </c>
      <c r="B101" s="9" t="s">
        <v>398</v>
      </c>
      <c r="C101" s="3" t="s">
        <v>256</v>
      </c>
      <c r="D101" s="4" t="s">
        <v>399</v>
      </c>
      <c r="E101" s="3" t="s">
        <v>256</v>
      </c>
      <c r="F101" s="5" t="s">
        <v>153</v>
      </c>
      <c r="G101" s="6">
        <v>34.22</v>
      </c>
      <c r="H101" s="7" t="s">
        <v>15</v>
      </c>
      <c r="I101" s="1" t="s">
        <v>144</v>
      </c>
      <c r="J101" s="1"/>
      <c r="K101" s="1"/>
      <c r="L101" s="1"/>
      <c r="M101" s="10">
        <f>Tableau3[[#This Row],[CODE]]</f>
        <v>1755</v>
      </c>
    </row>
    <row r="102" spans="1:13">
      <c r="A102" s="3">
        <v>1755</v>
      </c>
      <c r="B102" s="9" t="s">
        <v>400</v>
      </c>
      <c r="C102" s="3" t="s">
        <v>256</v>
      </c>
      <c r="D102" s="4" t="s">
        <v>401</v>
      </c>
      <c r="E102" s="3" t="s">
        <v>256</v>
      </c>
      <c r="F102" s="5" t="s">
        <v>153</v>
      </c>
      <c r="G102" s="6">
        <v>17.78</v>
      </c>
      <c r="H102" s="7" t="s">
        <v>15</v>
      </c>
      <c r="I102" s="1"/>
      <c r="J102" s="1"/>
      <c r="K102" s="1"/>
      <c r="L102" s="1"/>
      <c r="M102" s="10">
        <f>Tableau3[[#This Row],[CODE]]</f>
        <v>1755</v>
      </c>
    </row>
    <row r="103" spans="1:13">
      <c r="A103" s="3">
        <v>1480</v>
      </c>
      <c r="B103" s="9" t="s">
        <v>402</v>
      </c>
      <c r="C103" s="3" t="s">
        <v>363</v>
      </c>
      <c r="D103" s="4" t="s">
        <v>403</v>
      </c>
      <c r="E103" s="3" t="s">
        <v>365</v>
      </c>
      <c r="F103" s="5"/>
      <c r="G103" s="6">
        <v>2.69</v>
      </c>
      <c r="H103" s="7" t="s">
        <v>14</v>
      </c>
      <c r="I103" s="1" t="s">
        <v>144</v>
      </c>
      <c r="J103" s="1"/>
      <c r="K103" s="1"/>
      <c r="L103" s="1"/>
      <c r="M103" s="10">
        <f>Tableau3[[#This Row],[CODE]]</f>
        <v>1480</v>
      </c>
    </row>
    <row r="104" spans="1:13" ht="22.5">
      <c r="A104" s="3">
        <v>1606</v>
      </c>
      <c r="B104" s="9" t="s">
        <v>404</v>
      </c>
      <c r="C104" s="3" t="s">
        <v>230</v>
      </c>
      <c r="D104" s="4" t="s">
        <v>405</v>
      </c>
      <c r="E104" s="3" t="s">
        <v>232</v>
      </c>
      <c r="F104" s="5" t="s">
        <v>153</v>
      </c>
      <c r="G104" s="6">
        <v>32.85</v>
      </c>
      <c r="H104" s="7" t="s">
        <v>14</v>
      </c>
      <c r="I104" s="1"/>
      <c r="J104" s="1"/>
      <c r="K104" s="1"/>
      <c r="L104" s="1"/>
      <c r="M104" s="10">
        <f>Tableau3[[#This Row],[CODE]]</f>
        <v>1606</v>
      </c>
    </row>
    <row r="105" spans="1:13">
      <c r="A105" s="3">
        <v>1640</v>
      </c>
      <c r="B105" s="9" t="s">
        <v>406</v>
      </c>
      <c r="C105" s="3" t="s">
        <v>230</v>
      </c>
      <c r="D105" s="4" t="s">
        <v>407</v>
      </c>
      <c r="E105" s="3" t="s">
        <v>232</v>
      </c>
      <c r="F105" s="5" t="s">
        <v>153</v>
      </c>
      <c r="G105" s="6">
        <v>16.41</v>
      </c>
      <c r="H105" s="7" t="s">
        <v>15</v>
      </c>
      <c r="I105" s="1" t="s">
        <v>144</v>
      </c>
      <c r="J105" s="1"/>
      <c r="K105" s="1"/>
      <c r="L105" s="1"/>
      <c r="M105" s="10">
        <f>Tableau3[[#This Row],[CODE]]</f>
        <v>1640</v>
      </c>
    </row>
    <row r="106" spans="1:13">
      <c r="A106" s="3">
        <v>1640</v>
      </c>
      <c r="B106" s="9" t="s">
        <v>408</v>
      </c>
      <c r="C106" s="3" t="s">
        <v>230</v>
      </c>
      <c r="D106" s="4" t="s">
        <v>409</v>
      </c>
      <c r="E106" s="3" t="s">
        <v>232</v>
      </c>
      <c r="F106" s="5" t="s">
        <v>153</v>
      </c>
      <c r="G106" s="6">
        <v>8.89</v>
      </c>
      <c r="H106" s="7" t="s">
        <v>14</v>
      </c>
      <c r="I106" s="1"/>
      <c r="J106" s="1"/>
      <c r="K106" s="1"/>
      <c r="L106" s="1"/>
      <c r="M106" s="10">
        <f>Tableau3[[#This Row],[CODE]]</f>
        <v>1640</v>
      </c>
    </row>
    <row r="107" spans="1:13">
      <c r="A107" s="3">
        <v>1639</v>
      </c>
      <c r="B107" s="9" t="s">
        <v>410</v>
      </c>
      <c r="C107" s="3" t="s">
        <v>230</v>
      </c>
      <c r="D107" s="4" t="s">
        <v>411</v>
      </c>
      <c r="E107" s="3" t="s">
        <v>232</v>
      </c>
      <c r="F107" s="5" t="s">
        <v>153</v>
      </c>
      <c r="G107" s="6">
        <v>28.74</v>
      </c>
      <c r="H107" s="7" t="s">
        <v>15</v>
      </c>
      <c r="I107" s="1"/>
      <c r="J107" s="1"/>
      <c r="K107" s="1"/>
      <c r="L107" s="1"/>
      <c r="M107" s="10">
        <f>Tableau3[[#This Row],[CODE]]</f>
        <v>1639</v>
      </c>
    </row>
    <row r="108" spans="1:13">
      <c r="A108" s="3">
        <v>1639</v>
      </c>
      <c r="B108" s="9" t="s">
        <v>412</v>
      </c>
      <c r="C108" s="3" t="s">
        <v>230</v>
      </c>
      <c r="D108" s="4" t="s">
        <v>413</v>
      </c>
      <c r="E108" s="3" t="s">
        <v>232</v>
      </c>
      <c r="F108" s="5" t="s">
        <v>153</v>
      </c>
      <c r="G108" s="6">
        <v>15.04</v>
      </c>
      <c r="H108" s="7" t="s">
        <v>14</v>
      </c>
      <c r="I108" s="1"/>
      <c r="J108" s="1"/>
      <c r="K108" s="1"/>
      <c r="L108" s="1"/>
      <c r="M108" s="10">
        <f>Tableau3[[#This Row],[CODE]]</f>
        <v>1639</v>
      </c>
    </row>
    <row r="109" spans="1:13">
      <c r="A109" s="3">
        <v>3146</v>
      </c>
      <c r="B109" s="9" t="s">
        <v>414</v>
      </c>
      <c r="C109" s="3" t="s">
        <v>146</v>
      </c>
      <c r="D109" s="4" t="s">
        <v>415</v>
      </c>
      <c r="E109" s="3" t="s">
        <v>148</v>
      </c>
      <c r="F109" s="5"/>
      <c r="G109" s="6">
        <v>3.14</v>
      </c>
      <c r="H109" s="7" t="s">
        <v>14</v>
      </c>
      <c r="I109" s="1"/>
      <c r="J109" s="1"/>
      <c r="K109" s="1"/>
      <c r="L109" s="1"/>
      <c r="M109" s="10">
        <f>Tableau3[[#This Row],[CODE]]</f>
        <v>3146</v>
      </c>
    </row>
    <row r="110" spans="1:13">
      <c r="A110" s="3">
        <v>3228</v>
      </c>
      <c r="B110" s="9" t="s">
        <v>416</v>
      </c>
      <c r="C110" s="3" t="s">
        <v>174</v>
      </c>
      <c r="D110" s="4" t="s">
        <v>417</v>
      </c>
      <c r="E110" s="3" t="s">
        <v>176</v>
      </c>
      <c r="F110" s="5"/>
      <c r="G110" s="6">
        <v>3.69</v>
      </c>
      <c r="H110" s="7" t="s">
        <v>15</v>
      </c>
      <c r="I110" s="1" t="s">
        <v>144</v>
      </c>
      <c r="J110" s="1"/>
      <c r="K110" s="1"/>
      <c r="L110" s="1" t="s">
        <v>144</v>
      </c>
      <c r="M110" s="10">
        <f>Tableau3[[#This Row],[CODE]]</f>
        <v>3228</v>
      </c>
    </row>
    <row r="111" spans="1:13">
      <c r="A111" s="3">
        <v>1978</v>
      </c>
      <c r="B111" s="9" t="s">
        <v>418</v>
      </c>
      <c r="C111" s="3" t="s">
        <v>174</v>
      </c>
      <c r="D111" s="4" t="s">
        <v>419</v>
      </c>
      <c r="E111" s="3" t="s">
        <v>176</v>
      </c>
      <c r="F111" s="5"/>
      <c r="G111" s="6">
        <v>5.33</v>
      </c>
      <c r="H111" s="8" t="s">
        <v>15</v>
      </c>
      <c r="I111" s="1" t="s">
        <v>144</v>
      </c>
      <c r="J111" s="1" t="s">
        <v>144</v>
      </c>
      <c r="K111" s="1"/>
      <c r="L111" s="1" t="s">
        <v>144</v>
      </c>
      <c r="M111" s="10">
        <f>Tableau3[[#This Row],[CODE]]</f>
        <v>1978</v>
      </c>
    </row>
    <row r="112" spans="1:13">
      <c r="A112" s="3">
        <v>3181</v>
      </c>
      <c r="B112" s="9" t="s">
        <v>420</v>
      </c>
      <c r="C112" s="3" t="s">
        <v>174</v>
      </c>
      <c r="D112" s="4" t="s">
        <v>421</v>
      </c>
      <c r="E112" s="3" t="s">
        <v>176</v>
      </c>
      <c r="F112" s="5"/>
      <c r="G112" s="6">
        <v>5.33</v>
      </c>
      <c r="H112" s="7" t="s">
        <v>15</v>
      </c>
      <c r="I112" s="1" t="s">
        <v>144</v>
      </c>
      <c r="J112" s="1" t="s">
        <v>144</v>
      </c>
      <c r="K112" s="1"/>
      <c r="L112" s="1" t="s">
        <v>144</v>
      </c>
      <c r="M112" s="10">
        <f>Tableau3[[#This Row],[CODE]]</f>
        <v>3181</v>
      </c>
    </row>
    <row r="113" spans="1:13" ht="22.5">
      <c r="A113" s="3">
        <v>5215</v>
      </c>
      <c r="B113" s="9" t="s">
        <v>422</v>
      </c>
      <c r="C113" s="3" t="s">
        <v>174</v>
      </c>
      <c r="D113" s="4" t="s">
        <v>423</v>
      </c>
      <c r="E113" s="3" t="s">
        <v>176</v>
      </c>
      <c r="F113" s="5" t="s">
        <v>153</v>
      </c>
      <c r="G113" s="6">
        <v>53.4</v>
      </c>
      <c r="H113" s="7" t="s">
        <v>15</v>
      </c>
      <c r="I113" s="1"/>
      <c r="J113" s="1"/>
      <c r="K113" s="1"/>
      <c r="L113" s="1" t="s">
        <v>144</v>
      </c>
      <c r="M113" s="10">
        <f>Tableau3[[#This Row],[CODE]]</f>
        <v>5215</v>
      </c>
    </row>
    <row r="114" spans="1:13">
      <c r="A114" s="3">
        <v>3214</v>
      </c>
      <c r="B114" s="9" t="s">
        <v>424</v>
      </c>
      <c r="C114" s="3" t="s">
        <v>174</v>
      </c>
      <c r="D114" s="4" t="s">
        <v>425</v>
      </c>
      <c r="E114" s="3" t="s">
        <v>176</v>
      </c>
      <c r="F114" s="5"/>
      <c r="G114" s="6">
        <v>4.78</v>
      </c>
      <c r="H114" s="7" t="s">
        <v>15</v>
      </c>
      <c r="I114" s="1" t="s">
        <v>144</v>
      </c>
      <c r="J114" s="1" t="s">
        <v>144</v>
      </c>
      <c r="K114" s="1"/>
      <c r="L114" s="1" t="s">
        <v>144</v>
      </c>
      <c r="M114" s="10">
        <f>Tableau3[[#This Row],[CODE]]</f>
        <v>3214</v>
      </c>
    </row>
    <row r="115" spans="1:13">
      <c r="A115" s="3">
        <v>1617</v>
      </c>
      <c r="B115" s="9" t="s">
        <v>426</v>
      </c>
      <c r="C115" s="3" t="s">
        <v>174</v>
      </c>
      <c r="D115" s="4" t="s">
        <v>427</v>
      </c>
      <c r="E115" s="3" t="s">
        <v>176</v>
      </c>
      <c r="F115" s="5"/>
      <c r="G115" s="6">
        <v>5.33</v>
      </c>
      <c r="H115" s="8" t="s">
        <v>15</v>
      </c>
      <c r="I115" s="1" t="s">
        <v>144</v>
      </c>
      <c r="J115" s="1" t="s">
        <v>144</v>
      </c>
      <c r="K115" s="1"/>
      <c r="L115" s="1"/>
      <c r="M115" s="10">
        <f>Tableau3[[#This Row],[CODE]]</f>
        <v>1617</v>
      </c>
    </row>
    <row r="116" spans="1:13">
      <c r="A116" s="3">
        <v>3174</v>
      </c>
      <c r="B116" s="9" t="s">
        <v>428</v>
      </c>
      <c r="C116" s="3" t="s">
        <v>171</v>
      </c>
      <c r="D116" s="4" t="s">
        <v>429</v>
      </c>
      <c r="E116" s="3" t="s">
        <v>148</v>
      </c>
      <c r="F116" s="5" t="s">
        <v>153</v>
      </c>
      <c r="G116" s="6">
        <v>7.25</v>
      </c>
      <c r="H116" s="7" t="s">
        <v>15</v>
      </c>
      <c r="I116" s="1" t="s">
        <v>144</v>
      </c>
      <c r="J116" s="1" t="s">
        <v>144</v>
      </c>
      <c r="K116" s="1"/>
      <c r="L116" s="1" t="s">
        <v>144</v>
      </c>
      <c r="M116" s="10">
        <f>Tableau3[[#This Row],[CODE]]</f>
        <v>3174</v>
      </c>
    </row>
    <row r="117" spans="1:13">
      <c r="A117" s="3">
        <v>1171</v>
      </c>
      <c r="B117" s="9" t="s">
        <v>430</v>
      </c>
      <c r="C117" s="3" t="s">
        <v>174</v>
      </c>
      <c r="D117" s="4" t="s">
        <v>431</v>
      </c>
      <c r="E117" s="3" t="s">
        <v>176</v>
      </c>
      <c r="F117" s="5" t="s">
        <v>153</v>
      </c>
      <c r="G117" s="6">
        <v>5.45</v>
      </c>
      <c r="H117" s="7" t="s">
        <v>15</v>
      </c>
      <c r="I117" s="1" t="s">
        <v>198</v>
      </c>
      <c r="J117" s="1"/>
      <c r="K117" s="1"/>
      <c r="L117" s="1" t="s">
        <v>198</v>
      </c>
      <c r="M117" s="10">
        <f>Tableau3[[#This Row],[CODE]]</f>
        <v>1171</v>
      </c>
    </row>
    <row r="118" spans="1:13">
      <c r="A118" s="3">
        <v>3183</v>
      </c>
      <c r="B118" s="9" t="s">
        <v>432</v>
      </c>
      <c r="C118" s="3" t="s">
        <v>146</v>
      </c>
      <c r="D118" s="4" t="s">
        <v>433</v>
      </c>
      <c r="E118" s="3" t="s">
        <v>148</v>
      </c>
      <c r="F118" s="5"/>
      <c r="G118" s="6">
        <v>5.88</v>
      </c>
      <c r="H118" s="7" t="s">
        <v>15</v>
      </c>
      <c r="I118" s="1" t="s">
        <v>144</v>
      </c>
      <c r="J118" s="1" t="s">
        <v>144</v>
      </c>
      <c r="K118" s="1" t="s">
        <v>144</v>
      </c>
      <c r="L118" s="1" t="s">
        <v>144</v>
      </c>
      <c r="M118" s="10">
        <f>Tableau3[[#This Row],[CODE]]</f>
        <v>3183</v>
      </c>
    </row>
    <row r="119" spans="1:13" ht="33.75">
      <c r="A119" s="3">
        <v>6118</v>
      </c>
      <c r="B119" s="9" t="s">
        <v>434</v>
      </c>
      <c r="C119" s="3" t="s">
        <v>146</v>
      </c>
      <c r="D119" s="4" t="s">
        <v>435</v>
      </c>
      <c r="E119" s="3" t="s">
        <v>148</v>
      </c>
      <c r="F119" s="5" t="s">
        <v>153</v>
      </c>
      <c r="G119" s="6">
        <v>3</v>
      </c>
      <c r="H119" s="7" t="s">
        <v>15</v>
      </c>
      <c r="I119" s="1" t="s">
        <v>144</v>
      </c>
      <c r="J119" s="1" t="s">
        <v>144</v>
      </c>
      <c r="K119" s="1" t="s">
        <v>144</v>
      </c>
      <c r="L119" s="1" t="s">
        <v>144</v>
      </c>
      <c r="M119" s="10">
        <f>Tableau3[[#This Row],[CODE]]</f>
        <v>6118</v>
      </c>
    </row>
    <row r="120" spans="1:13">
      <c r="A120" s="3">
        <v>1508</v>
      </c>
      <c r="B120" s="9" t="s">
        <v>436</v>
      </c>
      <c r="C120" s="3" t="s">
        <v>146</v>
      </c>
      <c r="D120" s="4" t="s">
        <v>437</v>
      </c>
      <c r="E120" s="3" t="s">
        <v>148</v>
      </c>
      <c r="F120" s="5" t="s">
        <v>153</v>
      </c>
      <c r="G120" s="6">
        <v>6.82</v>
      </c>
      <c r="H120" s="7" t="s">
        <v>15</v>
      </c>
      <c r="I120" s="1" t="s">
        <v>144</v>
      </c>
      <c r="J120" s="1" t="s">
        <v>144</v>
      </c>
      <c r="K120" s="1"/>
      <c r="L120" s="1" t="s">
        <v>144</v>
      </c>
      <c r="M120" s="10">
        <f>Tableau3[[#This Row],[CODE]]</f>
        <v>1508</v>
      </c>
    </row>
    <row r="121" spans="1:13">
      <c r="A121" s="3">
        <v>1788</v>
      </c>
      <c r="B121" s="9" t="s">
        <v>438</v>
      </c>
      <c r="C121" s="3" t="s">
        <v>146</v>
      </c>
      <c r="D121" s="4" t="s">
        <v>439</v>
      </c>
      <c r="E121" s="3" t="s">
        <v>148</v>
      </c>
      <c r="F121" s="5" t="s">
        <v>153</v>
      </c>
      <c r="G121" s="6">
        <v>3.69</v>
      </c>
      <c r="H121" s="7" t="s">
        <v>15</v>
      </c>
      <c r="I121" s="1" t="s">
        <v>198</v>
      </c>
      <c r="J121" s="1" t="s">
        <v>198</v>
      </c>
      <c r="K121" s="1" t="s">
        <v>198</v>
      </c>
      <c r="L121" s="1" t="s">
        <v>198</v>
      </c>
      <c r="M121" s="10">
        <f>Tableau3[[#This Row],[CODE]]</f>
        <v>1788</v>
      </c>
    </row>
    <row r="122" spans="1:13">
      <c r="A122" s="3">
        <v>3194</v>
      </c>
      <c r="B122" s="9" t="s">
        <v>440</v>
      </c>
      <c r="C122" s="3" t="s">
        <v>174</v>
      </c>
      <c r="D122" s="4" t="s">
        <v>441</v>
      </c>
      <c r="E122" s="3" t="s">
        <v>176</v>
      </c>
      <c r="F122" s="5" t="s">
        <v>153</v>
      </c>
      <c r="G122" s="6">
        <v>3.92</v>
      </c>
      <c r="H122" s="8" t="s">
        <v>15</v>
      </c>
      <c r="I122" s="1" t="s">
        <v>144</v>
      </c>
      <c r="J122" s="1" t="s">
        <v>144</v>
      </c>
      <c r="K122" s="1" t="s">
        <v>144</v>
      </c>
      <c r="L122" s="1" t="s">
        <v>144</v>
      </c>
      <c r="M122" s="10">
        <f>Tableau3[[#This Row],[CODE]]</f>
        <v>3194</v>
      </c>
    </row>
    <row r="123" spans="1:13">
      <c r="A123" s="3">
        <v>1138</v>
      </c>
      <c r="B123" s="9" t="s">
        <v>442</v>
      </c>
      <c r="C123" s="3" t="s">
        <v>174</v>
      </c>
      <c r="D123" s="4" t="s">
        <v>443</v>
      </c>
      <c r="E123" s="3" t="s">
        <v>176</v>
      </c>
      <c r="F123" s="5" t="s">
        <v>153</v>
      </c>
      <c r="G123" s="6">
        <v>5.45</v>
      </c>
      <c r="H123" s="7" t="s">
        <v>15</v>
      </c>
      <c r="I123" s="1" t="s">
        <v>144</v>
      </c>
      <c r="J123" s="1" t="s">
        <v>144</v>
      </c>
      <c r="K123" s="1" t="s">
        <v>144</v>
      </c>
      <c r="L123" s="1" t="s">
        <v>144</v>
      </c>
      <c r="M123" s="10">
        <f>Tableau3[[#This Row],[CODE]]</f>
        <v>1138</v>
      </c>
    </row>
    <row r="124" spans="1:13" ht="33.75">
      <c r="A124" s="3">
        <v>3764</v>
      </c>
      <c r="B124" s="9" t="s">
        <v>444</v>
      </c>
      <c r="C124" s="3" t="s">
        <v>174</v>
      </c>
      <c r="D124" s="4" t="s">
        <v>445</v>
      </c>
      <c r="E124" s="3" t="s">
        <v>176</v>
      </c>
      <c r="F124" s="5" t="s">
        <v>153</v>
      </c>
      <c r="G124" s="6">
        <v>4.16</v>
      </c>
      <c r="H124" s="7" t="s">
        <v>15</v>
      </c>
      <c r="I124" s="1" t="s">
        <v>144</v>
      </c>
      <c r="J124" s="1" t="s">
        <v>144</v>
      </c>
      <c r="K124" s="1" t="s">
        <v>144</v>
      </c>
      <c r="L124" s="1" t="s">
        <v>144</v>
      </c>
      <c r="M124" s="10">
        <f>Tableau3[[#This Row],[CODE]]</f>
        <v>3764</v>
      </c>
    </row>
    <row r="125" spans="1:13">
      <c r="A125" s="3">
        <v>1842</v>
      </c>
      <c r="B125" s="9" t="s">
        <v>446</v>
      </c>
      <c r="C125" s="3" t="s">
        <v>146</v>
      </c>
      <c r="D125" s="4" t="s">
        <v>447</v>
      </c>
      <c r="E125" s="3" t="s">
        <v>148</v>
      </c>
      <c r="F125" s="5" t="s">
        <v>153</v>
      </c>
      <c r="G125" s="6">
        <v>3.69</v>
      </c>
      <c r="H125" s="7" t="s">
        <v>15</v>
      </c>
      <c r="I125" s="1" t="s">
        <v>144</v>
      </c>
      <c r="J125" s="1" t="s">
        <v>144</v>
      </c>
      <c r="K125" s="1" t="s">
        <v>144</v>
      </c>
      <c r="L125" s="1" t="s">
        <v>144</v>
      </c>
      <c r="M125" s="10">
        <f>Tableau3[[#This Row],[CODE]]</f>
        <v>1842</v>
      </c>
    </row>
    <row r="126" spans="1:13" ht="22.5">
      <c r="A126" s="3" t="s">
        <v>448</v>
      </c>
      <c r="B126" s="9" t="s">
        <v>449</v>
      </c>
      <c r="C126" s="3" t="s">
        <v>174</v>
      </c>
      <c r="D126" s="4" t="s">
        <v>450</v>
      </c>
      <c r="E126" s="3" t="s">
        <v>176</v>
      </c>
      <c r="F126" s="5" t="s">
        <v>153</v>
      </c>
      <c r="G126" s="6">
        <v>5.74</v>
      </c>
      <c r="H126" s="7" t="s">
        <v>15</v>
      </c>
      <c r="I126" s="1" t="s">
        <v>144</v>
      </c>
      <c r="J126" s="1" t="s">
        <v>144</v>
      </c>
      <c r="K126" s="1" t="s">
        <v>144</v>
      </c>
      <c r="L126" s="1" t="s">
        <v>144</v>
      </c>
      <c r="M126" s="10" t="str">
        <f>Tableau3[[#This Row],[CODE]]</f>
        <v>3190. 658</v>
      </c>
    </row>
    <row r="127" spans="1:13" ht="33.75">
      <c r="A127" s="3">
        <v>6187</v>
      </c>
      <c r="B127" s="9" t="s">
        <v>451</v>
      </c>
      <c r="C127" s="3" t="s">
        <v>146</v>
      </c>
      <c r="D127" s="4" t="s">
        <v>452</v>
      </c>
      <c r="E127" s="3" t="s">
        <v>148</v>
      </c>
      <c r="F127" s="5" t="s">
        <v>267</v>
      </c>
      <c r="G127" s="6">
        <v>3.14</v>
      </c>
      <c r="H127" s="8" t="s">
        <v>15</v>
      </c>
      <c r="I127" s="1" t="s">
        <v>144</v>
      </c>
      <c r="J127" s="1" t="s">
        <v>144</v>
      </c>
      <c r="K127" s="1" t="s">
        <v>144</v>
      </c>
      <c r="L127" s="1" t="s">
        <v>144</v>
      </c>
      <c r="M127" s="10">
        <f>Tableau3[[#This Row],[CODE]]</f>
        <v>6187</v>
      </c>
    </row>
    <row r="128" spans="1:13">
      <c r="A128" s="3">
        <v>1115</v>
      </c>
      <c r="B128" s="9" t="s">
        <v>453</v>
      </c>
      <c r="C128" s="3" t="s">
        <v>265</v>
      </c>
      <c r="D128" s="4" t="s">
        <v>454</v>
      </c>
      <c r="E128" s="3" t="s">
        <v>148</v>
      </c>
      <c r="F128" s="5" t="s">
        <v>153</v>
      </c>
      <c r="G128" s="6">
        <v>5.0599999999999996</v>
      </c>
      <c r="H128" s="7" t="s">
        <v>15</v>
      </c>
      <c r="I128" s="1" t="s">
        <v>144</v>
      </c>
      <c r="J128" s="1" t="s">
        <v>144</v>
      </c>
      <c r="K128" s="1" t="s">
        <v>144</v>
      </c>
      <c r="L128" s="1" t="s">
        <v>144</v>
      </c>
      <c r="M128" s="10">
        <f>Tableau3[[#This Row],[CODE]]</f>
        <v>1115</v>
      </c>
    </row>
    <row r="129" spans="1:13">
      <c r="A129" s="3">
        <v>1843</v>
      </c>
      <c r="B129" s="9" t="s">
        <v>455</v>
      </c>
      <c r="C129" s="3" t="s">
        <v>174</v>
      </c>
      <c r="D129" s="4" t="s">
        <v>456</v>
      </c>
      <c r="E129" s="3" t="s">
        <v>176</v>
      </c>
      <c r="F129" s="5"/>
      <c r="G129" s="6">
        <v>5.0599999999999996</v>
      </c>
      <c r="H129" s="7" t="s">
        <v>15</v>
      </c>
      <c r="I129" s="1" t="s">
        <v>144</v>
      </c>
      <c r="J129" s="1" t="s">
        <v>144</v>
      </c>
      <c r="K129" s="1"/>
      <c r="L129" s="1" t="s">
        <v>144</v>
      </c>
      <c r="M129" s="10">
        <f>Tableau3[[#This Row],[CODE]]</f>
        <v>1843</v>
      </c>
    </row>
    <row r="130" spans="1:13">
      <c r="A130" s="3">
        <v>3223</v>
      </c>
      <c r="B130" s="9" t="s">
        <v>457</v>
      </c>
      <c r="C130" s="3" t="s">
        <v>174</v>
      </c>
      <c r="D130" s="4" t="s">
        <v>458</v>
      </c>
      <c r="E130" s="3" t="s">
        <v>176</v>
      </c>
      <c r="F130" s="5"/>
      <c r="G130" s="6">
        <v>5.45</v>
      </c>
      <c r="H130" s="7" t="s">
        <v>15</v>
      </c>
      <c r="I130" s="1" t="s">
        <v>144</v>
      </c>
      <c r="J130" s="1"/>
      <c r="K130" s="1"/>
      <c r="L130" s="1" t="s">
        <v>144</v>
      </c>
      <c r="M130" s="10">
        <f>Tableau3[[#This Row],[CODE]]</f>
        <v>3223</v>
      </c>
    </row>
    <row r="131" spans="1:13" ht="22.5">
      <c r="A131" s="3">
        <v>3868</v>
      </c>
      <c r="B131" s="9" t="s">
        <v>459</v>
      </c>
      <c r="C131" s="3" t="s">
        <v>174</v>
      </c>
      <c r="D131" s="4" t="s">
        <v>460</v>
      </c>
      <c r="E131" s="3" t="s">
        <v>176</v>
      </c>
      <c r="F131" s="5"/>
      <c r="G131" s="6">
        <v>11.63</v>
      </c>
      <c r="H131" s="7" t="s">
        <v>14</v>
      </c>
      <c r="I131" s="1"/>
      <c r="J131" s="1"/>
      <c r="K131" s="1"/>
      <c r="L131" s="1" t="s">
        <v>144</v>
      </c>
      <c r="M131" s="10">
        <f>Tableau3[[#This Row],[CODE]]</f>
        <v>3868</v>
      </c>
    </row>
    <row r="132" spans="1:13">
      <c r="A132" s="3">
        <v>3230</v>
      </c>
      <c r="B132" s="9" t="s">
        <v>461</v>
      </c>
      <c r="C132" s="3" t="s">
        <v>174</v>
      </c>
      <c r="D132" s="4" t="s">
        <v>462</v>
      </c>
      <c r="E132" s="3" t="s">
        <v>176</v>
      </c>
      <c r="F132" s="5"/>
      <c r="G132" s="6">
        <v>5.0599999999999996</v>
      </c>
      <c r="H132" s="7" t="s">
        <v>15</v>
      </c>
      <c r="I132" s="1" t="s">
        <v>198</v>
      </c>
      <c r="J132" s="1"/>
      <c r="K132" s="1"/>
      <c r="L132" s="1" t="s">
        <v>198</v>
      </c>
      <c r="M132" s="10">
        <f>Tableau3[[#This Row],[CODE]]</f>
        <v>3230</v>
      </c>
    </row>
    <row r="133" spans="1:13">
      <c r="A133" s="3">
        <v>3248</v>
      </c>
      <c r="B133" s="9" t="s">
        <v>463</v>
      </c>
      <c r="C133" s="3" t="s">
        <v>174</v>
      </c>
      <c r="D133" s="4" t="s">
        <v>464</v>
      </c>
      <c r="E133" s="3" t="s">
        <v>176</v>
      </c>
      <c r="F133" s="5"/>
      <c r="G133" s="6">
        <v>5.0599999999999996</v>
      </c>
      <c r="H133" s="7" t="s">
        <v>15</v>
      </c>
      <c r="I133" s="1" t="s">
        <v>198</v>
      </c>
      <c r="J133" s="1"/>
      <c r="K133" s="1"/>
      <c r="L133" s="1" t="s">
        <v>198</v>
      </c>
      <c r="M133" s="10">
        <f>Tableau3[[#This Row],[CODE]]</f>
        <v>3248</v>
      </c>
    </row>
    <row r="134" spans="1:13">
      <c r="A134" s="3">
        <v>3215</v>
      </c>
      <c r="B134" s="9" t="s">
        <v>465</v>
      </c>
      <c r="C134" s="3" t="s">
        <v>174</v>
      </c>
      <c r="D134" s="4" t="s">
        <v>466</v>
      </c>
      <c r="E134" s="3" t="s">
        <v>176</v>
      </c>
      <c r="F134" s="5" t="s">
        <v>153</v>
      </c>
      <c r="G134" s="6">
        <v>6.15</v>
      </c>
      <c r="H134" s="8" t="s">
        <v>15</v>
      </c>
      <c r="I134" s="1" t="s">
        <v>144</v>
      </c>
      <c r="J134" s="1" t="s">
        <v>144</v>
      </c>
      <c r="K134" s="1" t="s">
        <v>144</v>
      </c>
      <c r="L134" s="1" t="s">
        <v>144</v>
      </c>
      <c r="M134" s="10">
        <f>Tableau3[[#This Row],[CODE]]</f>
        <v>3215</v>
      </c>
    </row>
    <row r="135" spans="1:13">
      <c r="A135" s="3">
        <v>1686</v>
      </c>
      <c r="B135" s="9" t="s">
        <v>467</v>
      </c>
      <c r="C135" s="3" t="s">
        <v>146</v>
      </c>
      <c r="D135" s="4" t="s">
        <v>468</v>
      </c>
      <c r="E135" s="3" t="s">
        <v>146</v>
      </c>
      <c r="F135" s="5" t="s">
        <v>153</v>
      </c>
      <c r="G135" s="6">
        <v>6.82</v>
      </c>
      <c r="H135" s="7" t="s">
        <v>15</v>
      </c>
      <c r="I135" s="1" t="s">
        <v>144</v>
      </c>
      <c r="J135" s="1" t="s">
        <v>144</v>
      </c>
      <c r="K135" s="1"/>
      <c r="L135" s="1"/>
      <c r="M135" s="10">
        <f>Tableau3[[#This Row],[CODE]]</f>
        <v>1686</v>
      </c>
    </row>
    <row r="136" spans="1:13">
      <c r="A136" s="3">
        <v>3075</v>
      </c>
      <c r="B136" s="9" t="s">
        <v>469</v>
      </c>
      <c r="C136" s="3" t="s">
        <v>146</v>
      </c>
      <c r="D136" s="4" t="s">
        <v>470</v>
      </c>
      <c r="E136" s="3" t="s">
        <v>148</v>
      </c>
      <c r="F136" s="5"/>
      <c r="G136" s="6">
        <v>3.55</v>
      </c>
      <c r="H136" s="7" t="s">
        <v>15</v>
      </c>
      <c r="I136" s="1" t="s">
        <v>144</v>
      </c>
      <c r="J136" s="1"/>
      <c r="K136" s="1"/>
      <c r="L136" s="1" t="s">
        <v>144</v>
      </c>
      <c r="M136" s="10">
        <f>Tableau3[[#This Row],[CODE]]</f>
        <v>3075</v>
      </c>
    </row>
    <row r="137" spans="1:13">
      <c r="A137" s="3">
        <v>1032</v>
      </c>
      <c r="B137" s="9" t="s">
        <v>471</v>
      </c>
      <c r="C137" s="3" t="s">
        <v>171</v>
      </c>
      <c r="D137" s="4" t="s">
        <v>472</v>
      </c>
      <c r="E137" s="3" t="s">
        <v>148</v>
      </c>
      <c r="F137" s="5"/>
      <c r="G137" s="6">
        <v>3</v>
      </c>
      <c r="H137" s="7" t="s">
        <v>15</v>
      </c>
      <c r="I137" s="1" t="s">
        <v>144</v>
      </c>
      <c r="J137" s="1" t="s">
        <v>144</v>
      </c>
      <c r="K137" s="1" t="s">
        <v>144</v>
      </c>
      <c r="L137" s="1" t="s">
        <v>144</v>
      </c>
      <c r="M137" s="10">
        <f>Tableau3[[#This Row],[CODE]]</f>
        <v>1032</v>
      </c>
    </row>
    <row r="138" spans="1:13">
      <c r="A138" s="3">
        <v>3112</v>
      </c>
      <c r="B138" s="9" t="s">
        <v>473</v>
      </c>
      <c r="C138" s="3" t="s">
        <v>474</v>
      </c>
      <c r="D138" s="4" t="s">
        <v>475</v>
      </c>
      <c r="E138" s="3" t="s">
        <v>476</v>
      </c>
      <c r="F138" s="5" t="s">
        <v>153</v>
      </c>
      <c r="G138" s="6">
        <v>1.9</v>
      </c>
      <c r="H138" s="7" t="s">
        <v>15</v>
      </c>
      <c r="I138" s="1" t="s">
        <v>144</v>
      </c>
      <c r="J138" s="1" t="s">
        <v>144</v>
      </c>
      <c r="K138" s="1" t="s">
        <v>144</v>
      </c>
      <c r="L138" s="1" t="s">
        <v>144</v>
      </c>
      <c r="M138" s="10">
        <f>Tableau3[[#This Row],[CODE]]</f>
        <v>3112</v>
      </c>
    </row>
    <row r="139" spans="1:13">
      <c r="A139" s="3">
        <v>1052</v>
      </c>
      <c r="B139" s="9" t="s">
        <v>477</v>
      </c>
      <c r="C139" s="3" t="s">
        <v>478</v>
      </c>
      <c r="D139" s="4" t="s">
        <v>479</v>
      </c>
      <c r="E139" s="3" t="s">
        <v>480</v>
      </c>
      <c r="F139" s="5"/>
      <c r="G139" s="6">
        <v>2.71</v>
      </c>
      <c r="H139" s="8" t="s">
        <v>15</v>
      </c>
      <c r="I139" s="1" t="s">
        <v>144</v>
      </c>
      <c r="J139" s="1" t="s">
        <v>144</v>
      </c>
      <c r="K139" s="1"/>
      <c r="L139" s="1" t="s">
        <v>144</v>
      </c>
      <c r="M139" s="10">
        <f>Tableau3[[#This Row],[CODE]]</f>
        <v>1052</v>
      </c>
    </row>
    <row r="140" spans="1:13">
      <c r="A140" s="3">
        <v>3925</v>
      </c>
      <c r="B140" s="9" t="s">
        <v>481</v>
      </c>
      <c r="C140" s="3" t="s">
        <v>174</v>
      </c>
      <c r="D140" s="4" t="s">
        <v>482</v>
      </c>
      <c r="E140" s="3" t="s">
        <v>176</v>
      </c>
      <c r="F140" s="5" t="s">
        <v>153</v>
      </c>
      <c r="G140" s="6">
        <v>12.73</v>
      </c>
      <c r="H140" s="7" t="s">
        <v>14</v>
      </c>
      <c r="I140" s="1" t="s">
        <v>144</v>
      </c>
      <c r="J140" s="1"/>
      <c r="K140" s="1"/>
      <c r="L140" s="1"/>
      <c r="M140" s="10">
        <f>Tableau3[[#This Row],[CODE]]</f>
        <v>3925</v>
      </c>
    </row>
    <row r="141" spans="1:13">
      <c r="A141" s="3">
        <v>5113</v>
      </c>
      <c r="B141" s="9" t="s">
        <v>483</v>
      </c>
      <c r="C141" s="3" t="s">
        <v>174</v>
      </c>
      <c r="D141" s="4" t="s">
        <v>484</v>
      </c>
      <c r="E141" s="3" t="s">
        <v>176</v>
      </c>
      <c r="F141" s="5" t="s">
        <v>153</v>
      </c>
      <c r="G141" s="6">
        <v>12.73</v>
      </c>
      <c r="H141" s="7" t="s">
        <v>14</v>
      </c>
      <c r="I141" s="1" t="s">
        <v>144</v>
      </c>
      <c r="J141" s="1"/>
      <c r="K141" s="1"/>
      <c r="L141" s="1"/>
      <c r="M141" s="10">
        <f>Tableau3[[#This Row],[CODE]]</f>
        <v>5113</v>
      </c>
    </row>
    <row r="142" spans="1:13" ht="22.5">
      <c r="A142" s="3">
        <v>1444</v>
      </c>
      <c r="B142" s="9" t="s">
        <v>485</v>
      </c>
      <c r="C142" s="3" t="s">
        <v>486</v>
      </c>
      <c r="D142" s="4" t="s">
        <v>487</v>
      </c>
      <c r="E142" s="3" t="s">
        <v>486</v>
      </c>
      <c r="F142" s="5" t="s">
        <v>153</v>
      </c>
      <c r="G142" s="6">
        <v>15.04</v>
      </c>
      <c r="H142" s="7" t="s">
        <v>14</v>
      </c>
      <c r="I142" s="1" t="s">
        <v>144</v>
      </c>
      <c r="J142" s="1"/>
      <c r="K142" s="1"/>
      <c r="L142" s="1"/>
      <c r="M142" s="10">
        <f>Tableau3[[#This Row],[CODE]]</f>
        <v>1444</v>
      </c>
    </row>
    <row r="143" spans="1:13">
      <c r="A143" s="3">
        <v>5107</v>
      </c>
      <c r="B143" s="9" t="s">
        <v>488</v>
      </c>
      <c r="C143" s="3" t="s">
        <v>174</v>
      </c>
      <c r="D143" s="4" t="s">
        <v>489</v>
      </c>
      <c r="E143" s="3" t="s">
        <v>176</v>
      </c>
      <c r="F143" s="5" t="s">
        <v>153</v>
      </c>
      <c r="G143" s="6">
        <v>12.73</v>
      </c>
      <c r="H143" s="7" t="s">
        <v>14</v>
      </c>
      <c r="I143" s="1" t="s">
        <v>144</v>
      </c>
      <c r="J143" s="1"/>
      <c r="K143" s="1"/>
      <c r="L143" s="1"/>
      <c r="M143" s="10">
        <f>Tableau3[[#This Row],[CODE]]</f>
        <v>5107</v>
      </c>
    </row>
    <row r="144" spans="1:13">
      <c r="A144" s="3">
        <v>3585</v>
      </c>
      <c r="B144" s="9" t="s">
        <v>490</v>
      </c>
      <c r="C144" s="3" t="s">
        <v>174</v>
      </c>
      <c r="D144" s="4" t="s">
        <v>491</v>
      </c>
      <c r="E144" s="3" t="s">
        <v>176</v>
      </c>
      <c r="F144" s="5" t="s">
        <v>153</v>
      </c>
      <c r="G144" s="6">
        <v>12.73</v>
      </c>
      <c r="H144" s="7" t="s">
        <v>14</v>
      </c>
      <c r="I144" s="1" t="s">
        <v>144</v>
      </c>
      <c r="J144" s="1"/>
      <c r="K144" s="1"/>
      <c r="L144" s="1"/>
      <c r="M144" s="10">
        <f>Tableau3[[#This Row],[CODE]]</f>
        <v>3585</v>
      </c>
    </row>
    <row r="145" spans="1:13">
      <c r="A145" s="3">
        <v>1324</v>
      </c>
      <c r="B145" s="9" t="s">
        <v>492</v>
      </c>
      <c r="C145" s="3" t="s">
        <v>486</v>
      </c>
      <c r="D145" s="4" t="s">
        <v>493</v>
      </c>
      <c r="E145" s="3" t="s">
        <v>486</v>
      </c>
      <c r="F145" s="5" t="s">
        <v>153</v>
      </c>
      <c r="G145" s="6">
        <v>19.850000000000001</v>
      </c>
      <c r="H145" s="7" t="s">
        <v>14</v>
      </c>
      <c r="I145" s="1" t="s">
        <v>144</v>
      </c>
      <c r="J145" s="1"/>
      <c r="K145" s="1"/>
      <c r="L145" s="1"/>
      <c r="M145" s="10">
        <f>Tableau3[[#This Row],[CODE]]</f>
        <v>1324</v>
      </c>
    </row>
    <row r="146" spans="1:13">
      <c r="A146" s="3">
        <v>5114</v>
      </c>
      <c r="B146" s="9" t="s">
        <v>494</v>
      </c>
      <c r="C146" s="3" t="s">
        <v>174</v>
      </c>
      <c r="D146" s="4" t="s">
        <v>495</v>
      </c>
      <c r="E146" s="3" t="s">
        <v>176</v>
      </c>
      <c r="F146" s="5" t="s">
        <v>153</v>
      </c>
      <c r="G146" s="6">
        <v>10.67</v>
      </c>
      <c r="H146" s="7" t="s">
        <v>14</v>
      </c>
      <c r="I146" s="1" t="s">
        <v>144</v>
      </c>
      <c r="J146" s="1"/>
      <c r="K146" s="1"/>
      <c r="L146" s="1"/>
      <c r="M146" s="10">
        <f>Tableau3[[#This Row],[CODE]]</f>
        <v>5114</v>
      </c>
    </row>
    <row r="147" spans="1:13">
      <c r="A147" s="3">
        <v>3137</v>
      </c>
      <c r="B147" s="9" t="s">
        <v>496</v>
      </c>
      <c r="C147" s="3" t="s">
        <v>497</v>
      </c>
      <c r="D147" s="4" t="s">
        <v>498</v>
      </c>
      <c r="E147" s="3" t="s">
        <v>297</v>
      </c>
      <c r="F147" s="5"/>
      <c r="G147" s="6">
        <v>4.2300000000000004</v>
      </c>
      <c r="H147" s="7" t="s">
        <v>15</v>
      </c>
      <c r="I147" s="1" t="s">
        <v>144</v>
      </c>
      <c r="J147" s="1" t="s">
        <v>144</v>
      </c>
      <c r="K147" s="1"/>
      <c r="L147" s="1" t="s">
        <v>144</v>
      </c>
      <c r="M147" s="10">
        <f>Tableau3[[#This Row],[CODE]]</f>
        <v>3137</v>
      </c>
    </row>
    <row r="148" spans="1:13">
      <c r="A148" s="3">
        <v>1154</v>
      </c>
      <c r="B148" s="9" t="s">
        <v>499</v>
      </c>
      <c r="C148" s="3" t="s">
        <v>359</v>
      </c>
      <c r="D148" s="4" t="s">
        <v>500</v>
      </c>
      <c r="E148" s="3" t="s">
        <v>361</v>
      </c>
      <c r="F148" s="5" t="s">
        <v>153</v>
      </c>
      <c r="G148" s="6">
        <v>23.26</v>
      </c>
      <c r="H148" s="7" t="s">
        <v>14</v>
      </c>
      <c r="I148" s="1" t="s">
        <v>144</v>
      </c>
      <c r="J148" s="1"/>
      <c r="K148" s="1"/>
      <c r="L148" s="1"/>
      <c r="M148" s="10">
        <f>Tableau3[[#This Row],[CODE]]</f>
        <v>1154</v>
      </c>
    </row>
    <row r="149" spans="1:13">
      <c r="A149" s="3">
        <v>1027</v>
      </c>
      <c r="B149" s="9" t="s">
        <v>501</v>
      </c>
      <c r="C149" s="3" t="s">
        <v>502</v>
      </c>
      <c r="D149" s="4" t="s">
        <v>503</v>
      </c>
      <c r="E149" s="3" t="s">
        <v>152</v>
      </c>
      <c r="F149" s="5" t="s">
        <v>153</v>
      </c>
      <c r="G149" s="6">
        <v>21.22</v>
      </c>
      <c r="H149" s="7" t="s">
        <v>14</v>
      </c>
      <c r="I149" s="1" t="s">
        <v>144</v>
      </c>
      <c r="J149" s="1" t="s">
        <v>144</v>
      </c>
      <c r="K149" s="1"/>
      <c r="L149" s="1"/>
      <c r="M149" s="10">
        <f>Tableau3[[#This Row],[CODE]]</f>
        <v>1027</v>
      </c>
    </row>
    <row r="150" spans="1:13" ht="22.5">
      <c r="A150" s="3" t="s">
        <v>504</v>
      </c>
      <c r="B150" s="9" t="s">
        <v>505</v>
      </c>
      <c r="C150" s="3" t="s">
        <v>506</v>
      </c>
      <c r="D150" s="4" t="s">
        <v>507</v>
      </c>
      <c r="E150" s="3" t="s">
        <v>508</v>
      </c>
      <c r="F150" s="5" t="s">
        <v>153</v>
      </c>
      <c r="G150" s="6">
        <v>43.81</v>
      </c>
      <c r="H150" s="7" t="s">
        <v>14</v>
      </c>
      <c r="I150" s="1"/>
      <c r="J150" s="1"/>
      <c r="K150" s="1"/>
      <c r="L150" s="1"/>
      <c r="M150" s="10" t="str">
        <f>Tableau3[[#This Row],[CODE]]</f>
        <v>1816</v>
      </c>
    </row>
    <row r="151" spans="1:13" ht="22.5">
      <c r="A151" s="3" t="s">
        <v>504</v>
      </c>
      <c r="B151" s="9" t="s">
        <v>509</v>
      </c>
      <c r="C151" s="3" t="s">
        <v>506</v>
      </c>
      <c r="D151" s="4" t="s">
        <v>510</v>
      </c>
      <c r="E151" s="3" t="s">
        <v>508</v>
      </c>
      <c r="F151" s="5" t="s">
        <v>153</v>
      </c>
      <c r="G151" s="6">
        <v>22.59</v>
      </c>
      <c r="H151" s="7" t="s">
        <v>14</v>
      </c>
      <c r="I151" s="1"/>
      <c r="J151" s="1"/>
      <c r="K151" s="1"/>
      <c r="L151" s="1"/>
      <c r="M151" s="10" t="str">
        <f>Tableau3[[#This Row],[CODE]]</f>
        <v>1816</v>
      </c>
    </row>
    <row r="152" spans="1:13">
      <c r="A152" s="3">
        <v>6005</v>
      </c>
      <c r="B152" s="9" t="s">
        <v>511</v>
      </c>
      <c r="C152" s="3" t="s">
        <v>512</v>
      </c>
      <c r="D152" s="4" t="s">
        <v>513</v>
      </c>
      <c r="E152" s="3" t="s">
        <v>514</v>
      </c>
      <c r="F152" s="5" t="s">
        <v>153</v>
      </c>
      <c r="G152" s="6">
        <v>36.96</v>
      </c>
      <c r="H152" s="7" t="s">
        <v>14</v>
      </c>
      <c r="I152" s="1" t="s">
        <v>144</v>
      </c>
      <c r="J152" s="1"/>
      <c r="K152" s="1"/>
      <c r="L152" s="1"/>
      <c r="M152" s="10">
        <f>Tableau3[[#This Row],[CODE]]</f>
        <v>6005</v>
      </c>
    </row>
    <row r="153" spans="1:13">
      <c r="A153" s="3">
        <v>6005</v>
      </c>
      <c r="B153" s="9" t="s">
        <v>515</v>
      </c>
      <c r="C153" s="3" t="s">
        <v>512</v>
      </c>
      <c r="D153" s="4" t="s">
        <v>516</v>
      </c>
      <c r="E153" s="3" t="s">
        <v>514</v>
      </c>
      <c r="F153" s="5" t="s">
        <v>153</v>
      </c>
      <c r="G153" s="6">
        <v>19.149999999999999</v>
      </c>
      <c r="H153" s="7" t="s">
        <v>14</v>
      </c>
      <c r="I153" s="1"/>
      <c r="J153" s="1"/>
      <c r="K153" s="1"/>
      <c r="L153" s="1"/>
      <c r="M153" s="10">
        <f>Tableau3[[#This Row],[CODE]]</f>
        <v>6005</v>
      </c>
    </row>
    <row r="154" spans="1:13">
      <c r="A154" s="3">
        <v>1101</v>
      </c>
      <c r="B154" s="9" t="s">
        <v>517</v>
      </c>
      <c r="C154" s="3" t="s">
        <v>171</v>
      </c>
      <c r="D154" s="4" t="s">
        <v>518</v>
      </c>
      <c r="E154" s="3" t="s">
        <v>148</v>
      </c>
      <c r="F154" s="5"/>
      <c r="G154" s="6">
        <v>2.04</v>
      </c>
      <c r="H154" s="7" t="s">
        <v>15</v>
      </c>
      <c r="I154" s="1" t="s">
        <v>144</v>
      </c>
      <c r="J154" s="1" t="s">
        <v>144</v>
      </c>
      <c r="K154" s="1"/>
      <c r="L154" s="1" t="s">
        <v>144</v>
      </c>
      <c r="M154" s="10">
        <f>Tableau3[[#This Row],[CODE]]</f>
        <v>1101</v>
      </c>
    </row>
    <row r="155" spans="1:13">
      <c r="A155" s="3">
        <v>1151</v>
      </c>
      <c r="B155" s="9" t="s">
        <v>519</v>
      </c>
      <c r="C155" s="3" t="s">
        <v>171</v>
      </c>
      <c r="D155" s="4" t="s">
        <v>520</v>
      </c>
      <c r="E155" s="3" t="s">
        <v>146</v>
      </c>
      <c r="F155" s="5"/>
      <c r="G155" s="6">
        <v>2.1800000000000002</v>
      </c>
      <c r="H155" s="7" t="s">
        <v>15</v>
      </c>
      <c r="I155" s="1" t="s">
        <v>144</v>
      </c>
      <c r="J155" s="1" t="s">
        <v>144</v>
      </c>
      <c r="K155" s="1"/>
      <c r="L155" s="1" t="s">
        <v>144</v>
      </c>
      <c r="M155" s="10">
        <f>Tableau3[[#This Row],[CODE]]</f>
        <v>1151</v>
      </c>
    </row>
    <row r="156" spans="1:13" ht="22.5">
      <c r="A156" s="3">
        <v>6025</v>
      </c>
      <c r="B156" s="9" t="s">
        <v>521</v>
      </c>
      <c r="C156" s="3" t="s">
        <v>171</v>
      </c>
      <c r="D156" s="4" t="s">
        <v>522</v>
      </c>
      <c r="E156" s="3" t="s">
        <v>148</v>
      </c>
      <c r="F156" s="5"/>
      <c r="G156" s="6">
        <v>5.45</v>
      </c>
      <c r="H156" s="7" t="s">
        <v>14</v>
      </c>
      <c r="I156" s="1" t="s">
        <v>144</v>
      </c>
      <c r="J156" s="1"/>
      <c r="K156" s="1"/>
      <c r="L156" s="1"/>
      <c r="M156" s="10">
        <f>Tableau3[[#This Row],[CODE]]</f>
        <v>6025</v>
      </c>
    </row>
    <row r="157" spans="1:13" ht="33.75">
      <c r="A157" s="3">
        <v>5119</v>
      </c>
      <c r="B157" s="9" t="s">
        <v>523</v>
      </c>
      <c r="C157" s="3" t="s">
        <v>524</v>
      </c>
      <c r="D157" s="4" t="s">
        <v>525</v>
      </c>
      <c r="E157" s="3" t="s">
        <v>526</v>
      </c>
      <c r="F157" s="5"/>
      <c r="G157" s="6">
        <v>10.119999999999999</v>
      </c>
      <c r="H157" s="7" t="s">
        <v>14</v>
      </c>
      <c r="I157" s="1"/>
      <c r="J157" s="1"/>
      <c r="K157" s="1"/>
      <c r="L157" s="1"/>
      <c r="M157" s="10">
        <f>Tableau3[[#This Row],[CODE]]</f>
        <v>5119</v>
      </c>
    </row>
    <row r="158" spans="1:13" ht="33.75">
      <c r="A158" s="3">
        <v>1541</v>
      </c>
      <c r="B158" s="9" t="s">
        <v>527</v>
      </c>
      <c r="C158" s="3" t="s">
        <v>363</v>
      </c>
      <c r="D158" s="4" t="s">
        <v>528</v>
      </c>
      <c r="E158" s="3" t="s">
        <v>365</v>
      </c>
      <c r="F158" s="5" t="s">
        <v>153</v>
      </c>
      <c r="G158" s="6">
        <v>9.0299999999999994</v>
      </c>
      <c r="H158" s="7" t="s">
        <v>14</v>
      </c>
      <c r="I158" s="1"/>
      <c r="J158" s="1"/>
      <c r="K158" s="1"/>
      <c r="L158" s="1"/>
      <c r="M158" s="10">
        <f>Tableau3[[#This Row],[CODE]]</f>
        <v>1541</v>
      </c>
    </row>
    <row r="159" spans="1:13">
      <c r="A159" s="3">
        <v>5159</v>
      </c>
      <c r="B159" s="9" t="s">
        <v>529</v>
      </c>
      <c r="C159" s="3" t="s">
        <v>174</v>
      </c>
      <c r="D159" s="4" t="s">
        <v>530</v>
      </c>
      <c r="E159" s="3" t="s">
        <v>176</v>
      </c>
      <c r="F159" s="5"/>
      <c r="G159" s="6">
        <v>4.08</v>
      </c>
      <c r="H159" s="7" t="s">
        <v>15</v>
      </c>
      <c r="I159" s="1" t="s">
        <v>144</v>
      </c>
      <c r="J159" s="1"/>
      <c r="K159" s="1"/>
      <c r="L159" s="1" t="s">
        <v>144</v>
      </c>
      <c r="M159" s="10">
        <f>Tableau3[[#This Row],[CODE]]</f>
        <v>5159</v>
      </c>
    </row>
    <row r="160" spans="1:13">
      <c r="A160" s="3" t="s">
        <v>531</v>
      </c>
      <c r="B160" s="9" t="s">
        <v>532</v>
      </c>
      <c r="C160" s="3" t="s">
        <v>363</v>
      </c>
      <c r="D160" s="4" t="s">
        <v>533</v>
      </c>
      <c r="E160" s="3" t="s">
        <v>365</v>
      </c>
      <c r="F160" s="5"/>
      <c r="G160" s="6">
        <v>3.14</v>
      </c>
      <c r="H160" s="7" t="s">
        <v>15</v>
      </c>
      <c r="I160" s="1" t="s">
        <v>144</v>
      </c>
      <c r="J160" s="1"/>
      <c r="K160" s="1"/>
      <c r="L160" s="1" t="s">
        <v>144</v>
      </c>
      <c r="M160" s="10" t="str">
        <f>Tableau3[[#This Row],[CODE]]</f>
        <v>5117-3073</v>
      </c>
    </row>
    <row r="161" spans="1:13">
      <c r="A161" s="3" t="s">
        <v>534</v>
      </c>
      <c r="B161" s="9" t="s">
        <v>535</v>
      </c>
      <c r="C161" s="3" t="s">
        <v>478</v>
      </c>
      <c r="D161" s="4" t="s">
        <v>536</v>
      </c>
      <c r="E161" s="3" t="s">
        <v>480</v>
      </c>
      <c r="F161" s="5"/>
      <c r="G161" s="6">
        <v>3.27</v>
      </c>
      <c r="H161" s="7" t="s">
        <v>15</v>
      </c>
      <c r="I161" s="1" t="s">
        <v>144</v>
      </c>
      <c r="J161" s="1" t="s">
        <v>144</v>
      </c>
      <c r="K161" s="1"/>
      <c r="L161" s="1" t="s">
        <v>144</v>
      </c>
      <c r="M161" s="10" t="str">
        <f>Tableau3[[#This Row],[CODE]]</f>
        <v>3073.135</v>
      </c>
    </row>
    <row r="162" spans="1:13">
      <c r="A162" s="3">
        <v>6124</v>
      </c>
      <c r="B162" s="9" t="s">
        <v>537</v>
      </c>
      <c r="C162" s="3" t="s">
        <v>538</v>
      </c>
      <c r="D162" s="4" t="s">
        <v>539</v>
      </c>
      <c r="E162" s="3" t="s">
        <v>540</v>
      </c>
      <c r="F162" s="5"/>
      <c r="G162" s="6">
        <v>3.96</v>
      </c>
      <c r="H162" s="7" t="s">
        <v>15</v>
      </c>
      <c r="I162" s="1" t="s">
        <v>198</v>
      </c>
      <c r="J162" s="1" t="s">
        <v>198</v>
      </c>
      <c r="K162" s="1"/>
      <c r="L162" s="1" t="s">
        <v>198</v>
      </c>
      <c r="M162" s="10">
        <f>Tableau3[[#This Row],[CODE]]</f>
        <v>6124</v>
      </c>
    </row>
    <row r="163" spans="1:13" ht="22.5">
      <c r="A163" s="3">
        <v>3441</v>
      </c>
      <c r="B163" s="9" t="s">
        <v>541</v>
      </c>
      <c r="C163" s="3" t="s">
        <v>542</v>
      </c>
      <c r="D163" s="4" t="s">
        <v>543</v>
      </c>
      <c r="E163" s="3" t="s">
        <v>540</v>
      </c>
      <c r="F163" s="5"/>
      <c r="G163" s="6">
        <v>3.55</v>
      </c>
      <c r="H163" s="7" t="s">
        <v>15</v>
      </c>
      <c r="I163" s="1" t="s">
        <v>144</v>
      </c>
      <c r="J163" s="1" t="s">
        <v>144</v>
      </c>
      <c r="K163" s="1"/>
      <c r="L163" s="1" t="s">
        <v>144</v>
      </c>
      <c r="M163" s="10">
        <f>Tableau3[[#This Row],[CODE]]</f>
        <v>3441</v>
      </c>
    </row>
    <row r="164" spans="1:13" ht="22.5">
      <c r="A164" s="3" t="s">
        <v>544</v>
      </c>
      <c r="B164" s="9" t="s">
        <v>545</v>
      </c>
      <c r="C164" s="3" t="s">
        <v>174</v>
      </c>
      <c r="D164" s="4" t="s">
        <v>546</v>
      </c>
      <c r="E164" s="3" t="s">
        <v>176</v>
      </c>
      <c r="F164" s="5"/>
      <c r="G164" s="6">
        <v>4.0599999999999996</v>
      </c>
      <c r="H164" s="7" t="s">
        <v>15</v>
      </c>
      <c r="I164" s="1" t="s">
        <v>144</v>
      </c>
      <c r="J164" s="1" t="s">
        <v>144</v>
      </c>
      <c r="K164" s="1" t="s">
        <v>144</v>
      </c>
      <c r="L164" s="1" t="s">
        <v>144</v>
      </c>
      <c r="M164" s="10" t="str">
        <f>Tableau3[[#This Row],[CODE]]</f>
        <v>3694-3006</v>
      </c>
    </row>
    <row r="165" spans="1:13">
      <c r="A165" s="3">
        <v>1576</v>
      </c>
      <c r="B165" s="9" t="s">
        <v>547</v>
      </c>
      <c r="C165" s="3" t="s">
        <v>171</v>
      </c>
      <c r="D165" s="4" t="s">
        <v>548</v>
      </c>
      <c r="E165" s="3" t="s">
        <v>148</v>
      </c>
      <c r="F165" s="5" t="s">
        <v>153</v>
      </c>
      <c r="G165" s="6">
        <v>2.59</v>
      </c>
      <c r="H165" s="7" t="s">
        <v>15</v>
      </c>
      <c r="I165" s="1" t="s">
        <v>144</v>
      </c>
      <c r="J165" s="1" t="s">
        <v>144</v>
      </c>
      <c r="K165" s="1" t="s">
        <v>144</v>
      </c>
      <c r="L165" s="1" t="s">
        <v>144</v>
      </c>
      <c r="M165" s="10">
        <f>Tableau3[[#This Row],[CODE]]</f>
        <v>1576</v>
      </c>
    </row>
    <row r="166" spans="1:13">
      <c r="A166" s="3">
        <v>1015</v>
      </c>
      <c r="B166" s="9" t="s">
        <v>549</v>
      </c>
      <c r="C166" s="3" t="s">
        <v>171</v>
      </c>
      <c r="D166" s="4" t="s">
        <v>550</v>
      </c>
      <c r="E166" s="3" t="s">
        <v>148</v>
      </c>
      <c r="F166" s="5" t="s">
        <v>153</v>
      </c>
      <c r="G166" s="6">
        <v>2.71</v>
      </c>
      <c r="H166" s="7" t="s">
        <v>15</v>
      </c>
      <c r="I166" s="1" t="s">
        <v>144</v>
      </c>
      <c r="J166" s="1" t="s">
        <v>144</v>
      </c>
      <c r="K166" s="1" t="s">
        <v>144</v>
      </c>
      <c r="L166" s="1" t="s">
        <v>144</v>
      </c>
      <c r="M166" s="10">
        <f>Tableau3[[#This Row],[CODE]]</f>
        <v>1015</v>
      </c>
    </row>
    <row r="167" spans="1:13">
      <c r="A167" s="3">
        <v>3899</v>
      </c>
      <c r="B167" s="9" t="s">
        <v>551</v>
      </c>
      <c r="C167" s="3" t="s">
        <v>174</v>
      </c>
      <c r="D167" s="4" t="s">
        <v>552</v>
      </c>
      <c r="E167" s="3" t="s">
        <v>176</v>
      </c>
      <c r="F167" s="5"/>
      <c r="G167" s="6">
        <v>3.27</v>
      </c>
      <c r="H167" s="7" t="s">
        <v>14</v>
      </c>
      <c r="I167" s="1"/>
      <c r="J167" s="1"/>
      <c r="K167" s="1"/>
      <c r="L167" s="1"/>
      <c r="M167" s="10">
        <f>Tableau3[[#This Row],[CODE]]</f>
        <v>3899</v>
      </c>
    </row>
    <row r="168" spans="1:13">
      <c r="A168" s="3">
        <v>1761</v>
      </c>
      <c r="B168" s="9" t="s">
        <v>553</v>
      </c>
      <c r="C168" s="3" t="s">
        <v>171</v>
      </c>
      <c r="D168" s="4" t="s">
        <v>554</v>
      </c>
      <c r="E168" s="3" t="s">
        <v>148</v>
      </c>
      <c r="F168" s="5" t="s">
        <v>267</v>
      </c>
      <c r="G168" s="6">
        <v>2.3199999999999998</v>
      </c>
      <c r="H168" s="7" t="s">
        <v>15</v>
      </c>
      <c r="I168" s="1"/>
      <c r="J168" s="1"/>
      <c r="K168" s="1"/>
      <c r="L168" s="1" t="s">
        <v>144</v>
      </c>
      <c r="M168" s="10">
        <f>Tableau3[[#This Row],[CODE]]</f>
        <v>1761</v>
      </c>
    </row>
    <row r="169" spans="1:13" ht="22.5">
      <c r="A169" s="3" t="s">
        <v>555</v>
      </c>
      <c r="B169" s="9" t="s">
        <v>556</v>
      </c>
      <c r="C169" s="3" t="s">
        <v>174</v>
      </c>
      <c r="D169" s="4" t="s">
        <v>557</v>
      </c>
      <c r="E169" s="3" t="s">
        <v>176</v>
      </c>
      <c r="F169" s="5"/>
      <c r="G169" s="6">
        <v>3</v>
      </c>
      <c r="H169" s="7" t="s">
        <v>15</v>
      </c>
      <c r="I169" s="1" t="s">
        <v>144</v>
      </c>
      <c r="J169" s="1"/>
      <c r="K169" s="1"/>
      <c r="L169" s="1" t="s">
        <v>144</v>
      </c>
      <c r="M169" s="10" t="str">
        <f>Tableau3[[#This Row],[CODE]]</f>
        <v>5106-3735-3533</v>
      </c>
    </row>
    <row r="170" spans="1:13" ht="22.5">
      <c r="A170" s="3" t="s">
        <v>558</v>
      </c>
      <c r="B170" s="9" t="s">
        <v>559</v>
      </c>
      <c r="C170" s="3" t="s">
        <v>146</v>
      </c>
      <c r="D170" s="4" t="s">
        <v>560</v>
      </c>
      <c r="E170" s="3" t="s">
        <v>148</v>
      </c>
      <c r="F170" s="5" t="s">
        <v>267</v>
      </c>
      <c r="G170" s="6">
        <v>10.93</v>
      </c>
      <c r="H170" s="7" t="s">
        <v>15</v>
      </c>
      <c r="I170" s="1" t="s">
        <v>144</v>
      </c>
      <c r="J170" s="1" t="s">
        <v>144</v>
      </c>
      <c r="K170" s="1"/>
      <c r="L170" s="1" t="s">
        <v>144</v>
      </c>
      <c r="M170" s="10" t="str">
        <f>Tableau3[[#This Row],[CODE]]</f>
        <v>3757-3987</v>
      </c>
    </row>
    <row r="171" spans="1:13">
      <c r="A171" s="3">
        <v>3043</v>
      </c>
      <c r="B171" s="9" t="s">
        <v>561</v>
      </c>
      <c r="C171" s="3" t="s">
        <v>497</v>
      </c>
      <c r="D171" s="4" t="s">
        <v>562</v>
      </c>
      <c r="E171" s="3" t="s">
        <v>297</v>
      </c>
      <c r="F171" s="5"/>
      <c r="G171" s="6">
        <v>3.41</v>
      </c>
      <c r="H171" s="7" t="s">
        <v>15</v>
      </c>
      <c r="I171" s="1" t="s">
        <v>144</v>
      </c>
      <c r="J171" s="1" t="s">
        <v>144</v>
      </c>
      <c r="K171" s="1"/>
      <c r="L171" s="1" t="s">
        <v>144</v>
      </c>
      <c r="M171" s="10">
        <f>Tableau3[[#This Row],[CODE]]</f>
        <v>3043</v>
      </c>
    </row>
    <row r="172" spans="1:13">
      <c r="A172" s="3">
        <v>1123</v>
      </c>
      <c r="B172" s="9" t="s">
        <v>563</v>
      </c>
      <c r="C172" s="3" t="s">
        <v>295</v>
      </c>
      <c r="D172" s="4" t="s">
        <v>564</v>
      </c>
      <c r="E172" s="3" t="s">
        <v>297</v>
      </c>
      <c r="F172" s="5"/>
      <c r="G172" s="6">
        <v>3.82</v>
      </c>
      <c r="H172" s="7" t="s">
        <v>15</v>
      </c>
      <c r="I172" s="1" t="s">
        <v>144</v>
      </c>
      <c r="J172" s="1" t="s">
        <v>144</v>
      </c>
      <c r="K172" s="1"/>
      <c r="L172" s="1" t="s">
        <v>144</v>
      </c>
      <c r="M172" s="10">
        <f>Tableau3[[#This Row],[CODE]]</f>
        <v>1123</v>
      </c>
    </row>
    <row r="173" spans="1:13">
      <c r="A173" s="3">
        <v>3983</v>
      </c>
      <c r="B173" s="9" t="s">
        <v>565</v>
      </c>
      <c r="C173" s="3" t="s">
        <v>174</v>
      </c>
      <c r="D173" s="4" t="s">
        <v>566</v>
      </c>
      <c r="E173" s="3" t="s">
        <v>176</v>
      </c>
      <c r="F173" s="5"/>
      <c r="G173" s="6">
        <v>3.14</v>
      </c>
      <c r="H173" s="7" t="s">
        <v>15</v>
      </c>
      <c r="I173" s="1" t="s">
        <v>144</v>
      </c>
      <c r="J173" s="1"/>
      <c r="K173" s="1"/>
      <c r="L173" s="1" t="s">
        <v>144</v>
      </c>
      <c r="M173" s="10">
        <f>Tableau3[[#This Row],[CODE]]</f>
        <v>3983</v>
      </c>
    </row>
    <row r="174" spans="1:13">
      <c r="A174" s="3">
        <v>1062</v>
      </c>
      <c r="B174" s="9" t="s">
        <v>567</v>
      </c>
      <c r="C174" s="3" t="s">
        <v>171</v>
      </c>
      <c r="D174" s="4" t="s">
        <v>568</v>
      </c>
      <c r="E174" s="3" t="s">
        <v>148</v>
      </c>
      <c r="F174" s="5"/>
      <c r="G174" s="6">
        <v>3.41</v>
      </c>
      <c r="H174" s="7" t="s">
        <v>15</v>
      </c>
      <c r="I174" s="1" t="s">
        <v>144</v>
      </c>
      <c r="J174" s="1"/>
      <c r="K174" s="1"/>
      <c r="L174" s="1" t="s">
        <v>144</v>
      </c>
      <c r="M174" s="10">
        <f>Tableau3[[#This Row],[CODE]]</f>
        <v>1062</v>
      </c>
    </row>
    <row r="175" spans="1:13">
      <c r="A175" s="3">
        <v>3313</v>
      </c>
      <c r="B175" s="9" t="s">
        <v>569</v>
      </c>
      <c r="C175" s="3" t="s">
        <v>174</v>
      </c>
      <c r="D175" s="4" t="s">
        <v>570</v>
      </c>
      <c r="E175" s="3" t="s">
        <v>176</v>
      </c>
      <c r="F175" s="5" t="s">
        <v>153</v>
      </c>
      <c r="G175" s="6">
        <v>3.27</v>
      </c>
      <c r="H175" s="7" t="s">
        <v>15</v>
      </c>
      <c r="I175" s="1" t="s">
        <v>144</v>
      </c>
      <c r="J175" s="1" t="s">
        <v>144</v>
      </c>
      <c r="K175" s="1"/>
      <c r="L175" s="1" t="s">
        <v>144</v>
      </c>
      <c r="M175" s="10">
        <f>Tableau3[[#This Row],[CODE]]</f>
        <v>3313</v>
      </c>
    </row>
    <row r="176" spans="1:13">
      <c r="A176" s="3">
        <v>1043</v>
      </c>
      <c r="B176" s="9" t="s">
        <v>571</v>
      </c>
      <c r="C176" s="3" t="s">
        <v>146</v>
      </c>
      <c r="D176" s="4" t="s">
        <v>572</v>
      </c>
      <c r="E176" s="3" t="s">
        <v>148</v>
      </c>
      <c r="F176" s="5"/>
      <c r="G176" s="6">
        <v>4.92</v>
      </c>
      <c r="H176" s="7" t="s">
        <v>15</v>
      </c>
      <c r="I176" s="1" t="s">
        <v>198</v>
      </c>
      <c r="J176" s="1"/>
      <c r="K176" s="1"/>
      <c r="L176" s="1" t="s">
        <v>198</v>
      </c>
      <c r="M176" s="10">
        <f>Tableau3[[#This Row],[CODE]]</f>
        <v>1043</v>
      </c>
    </row>
    <row r="177" spans="1:13">
      <c r="A177" s="3">
        <v>6041</v>
      </c>
      <c r="B177" s="9" t="s">
        <v>573</v>
      </c>
      <c r="C177" s="3" t="s">
        <v>574</v>
      </c>
      <c r="D177" s="4" t="s">
        <v>575</v>
      </c>
      <c r="E177" s="3" t="s">
        <v>476</v>
      </c>
      <c r="F177" s="5" t="s">
        <v>153</v>
      </c>
      <c r="G177" s="6">
        <v>17.78</v>
      </c>
      <c r="H177" s="7" t="s">
        <v>14</v>
      </c>
      <c r="I177" s="1"/>
      <c r="J177" s="1"/>
      <c r="K177" s="1"/>
      <c r="L177" s="1"/>
      <c r="M177" s="10">
        <f>Tableau3[[#This Row],[CODE]]</f>
        <v>6041</v>
      </c>
    </row>
    <row r="178" spans="1:13">
      <c r="A178" s="3" t="s">
        <v>576</v>
      </c>
      <c r="B178" s="9" t="s">
        <v>577</v>
      </c>
      <c r="C178" s="3" t="s">
        <v>486</v>
      </c>
      <c r="D178" s="4" t="s">
        <v>578</v>
      </c>
      <c r="E178" s="3" t="s">
        <v>486</v>
      </c>
      <c r="F178" s="5" t="s">
        <v>153</v>
      </c>
      <c r="G178" s="6">
        <v>18.48</v>
      </c>
      <c r="H178" s="7" t="s">
        <v>14</v>
      </c>
      <c r="I178" s="1"/>
      <c r="J178" s="1"/>
      <c r="K178" s="1"/>
      <c r="L178" s="1"/>
      <c r="M178" s="10" t="str">
        <f>Tableau3[[#This Row],[CODE]]</f>
        <v>1564</v>
      </c>
    </row>
    <row r="179" spans="1:13">
      <c r="A179" s="3">
        <v>1147</v>
      </c>
      <c r="B179" s="9" t="s">
        <v>579</v>
      </c>
      <c r="C179" s="3" t="s">
        <v>174</v>
      </c>
      <c r="D179" s="4" t="s">
        <v>580</v>
      </c>
      <c r="E179" s="3" t="s">
        <v>176</v>
      </c>
      <c r="F179" s="5"/>
      <c r="G179" s="6">
        <v>2.3199999999999998</v>
      </c>
      <c r="H179" s="7" t="s">
        <v>15</v>
      </c>
      <c r="I179" s="1" t="s">
        <v>144</v>
      </c>
      <c r="J179" s="1" t="s">
        <v>144</v>
      </c>
      <c r="K179" s="1"/>
      <c r="L179" s="1" t="s">
        <v>144</v>
      </c>
      <c r="M179" s="10">
        <f>Tableau3[[#This Row],[CODE]]</f>
        <v>1147</v>
      </c>
    </row>
    <row r="180" spans="1:13">
      <c r="A180" s="3">
        <v>3478</v>
      </c>
      <c r="B180" s="9" t="s">
        <v>581</v>
      </c>
      <c r="C180" s="3" t="s">
        <v>174</v>
      </c>
      <c r="D180" s="4" t="s">
        <v>582</v>
      </c>
      <c r="E180" s="3" t="s">
        <v>176</v>
      </c>
      <c r="F180" s="5"/>
      <c r="G180" s="6">
        <v>3.41</v>
      </c>
      <c r="H180" s="7" t="s">
        <v>15</v>
      </c>
      <c r="I180" s="1" t="s">
        <v>198</v>
      </c>
      <c r="J180" s="1"/>
      <c r="K180" s="1"/>
      <c r="L180" s="1" t="s">
        <v>198</v>
      </c>
      <c r="M180" s="10">
        <f>Tableau3[[#This Row],[CODE]]</f>
        <v>3478</v>
      </c>
    </row>
    <row r="181" spans="1:13">
      <c r="A181" s="3" t="s">
        <v>583</v>
      </c>
      <c r="B181" s="9" t="s">
        <v>584</v>
      </c>
      <c r="C181" s="3" t="s">
        <v>174</v>
      </c>
      <c r="D181" s="4" t="s">
        <v>585</v>
      </c>
      <c r="E181" s="3" t="s">
        <v>176</v>
      </c>
      <c r="F181" s="5"/>
      <c r="G181" s="6">
        <v>2.3199999999999998</v>
      </c>
      <c r="H181" s="7" t="s">
        <v>15</v>
      </c>
      <c r="I181" s="1" t="s">
        <v>144</v>
      </c>
      <c r="J181" s="1" t="s">
        <v>144</v>
      </c>
      <c r="K181" s="1"/>
      <c r="L181" s="1" t="s">
        <v>144</v>
      </c>
      <c r="M181" s="10" t="str">
        <f>Tableau3[[#This Row],[CODE]]</f>
        <v>5124-3852</v>
      </c>
    </row>
    <row r="182" spans="1:13">
      <c r="A182" s="3">
        <v>3706</v>
      </c>
      <c r="B182" s="9" t="s">
        <v>586</v>
      </c>
      <c r="C182" s="3" t="s">
        <v>174</v>
      </c>
      <c r="D182" s="4" t="s">
        <v>587</v>
      </c>
      <c r="E182" s="3" t="s">
        <v>176</v>
      </c>
      <c r="F182" s="5"/>
      <c r="G182" s="6">
        <v>2.4500000000000002</v>
      </c>
      <c r="H182" s="7" t="s">
        <v>15</v>
      </c>
      <c r="I182" s="1" t="s">
        <v>144</v>
      </c>
      <c r="J182" s="1" t="s">
        <v>144</v>
      </c>
      <c r="K182" s="1"/>
      <c r="L182" s="1" t="s">
        <v>144</v>
      </c>
      <c r="M182" s="10">
        <f>Tableau3[[#This Row],[CODE]]</f>
        <v>3706</v>
      </c>
    </row>
    <row r="183" spans="1:13">
      <c r="A183" s="3">
        <v>3145</v>
      </c>
      <c r="B183" s="9" t="s">
        <v>588</v>
      </c>
      <c r="C183" s="3" t="s">
        <v>174</v>
      </c>
      <c r="D183" s="4" t="s">
        <v>589</v>
      </c>
      <c r="E183" s="3" t="s">
        <v>176</v>
      </c>
      <c r="F183" s="5"/>
      <c r="G183" s="6">
        <v>2.4500000000000002</v>
      </c>
      <c r="H183" s="7" t="s">
        <v>15</v>
      </c>
      <c r="I183" s="1" t="s">
        <v>144</v>
      </c>
      <c r="J183" s="1" t="s">
        <v>144</v>
      </c>
      <c r="K183" s="1"/>
      <c r="L183" s="1" t="s">
        <v>144</v>
      </c>
      <c r="M183" s="10">
        <f>Tableau3[[#This Row],[CODE]]</f>
        <v>3145</v>
      </c>
    </row>
    <row r="184" spans="1:13">
      <c r="A184" s="3">
        <v>5149</v>
      </c>
      <c r="B184" s="9" t="s">
        <v>590</v>
      </c>
      <c r="C184" s="3" t="s">
        <v>174</v>
      </c>
      <c r="D184" s="4" t="s">
        <v>591</v>
      </c>
      <c r="E184" s="3" t="s">
        <v>176</v>
      </c>
      <c r="F184" s="5"/>
      <c r="G184" s="6">
        <v>2.4500000000000002</v>
      </c>
      <c r="H184" s="7" t="s">
        <v>15</v>
      </c>
      <c r="I184" s="1"/>
      <c r="J184" s="1"/>
      <c r="K184" s="1"/>
      <c r="L184" s="1" t="s">
        <v>144</v>
      </c>
      <c r="M184" s="10">
        <f>Tableau3[[#This Row],[CODE]]</f>
        <v>5149</v>
      </c>
    </row>
    <row r="185" spans="1:13">
      <c r="A185" s="3">
        <v>3824</v>
      </c>
      <c r="B185" s="9" t="s">
        <v>592</v>
      </c>
      <c r="C185" s="3" t="s">
        <v>497</v>
      </c>
      <c r="D185" s="4" t="s">
        <v>593</v>
      </c>
      <c r="E185" s="3" t="s">
        <v>297</v>
      </c>
      <c r="F185" s="5" t="s">
        <v>153</v>
      </c>
      <c r="G185" s="6">
        <v>2.4500000000000002</v>
      </c>
      <c r="H185" s="7" t="s">
        <v>15</v>
      </c>
      <c r="I185" s="1" t="s">
        <v>144</v>
      </c>
      <c r="J185" s="1"/>
      <c r="K185" s="1"/>
      <c r="L185" s="1" t="s">
        <v>144</v>
      </c>
      <c r="M185" s="10">
        <f>Tableau3[[#This Row],[CODE]]</f>
        <v>3824</v>
      </c>
    </row>
    <row r="186" spans="1:13">
      <c r="A186" s="3">
        <v>1867</v>
      </c>
      <c r="B186" s="9" t="s">
        <v>594</v>
      </c>
      <c r="C186" s="3" t="s">
        <v>174</v>
      </c>
      <c r="D186" s="4" t="s">
        <v>595</v>
      </c>
      <c r="E186" s="3" t="s">
        <v>176</v>
      </c>
      <c r="F186" s="5" t="s">
        <v>153</v>
      </c>
      <c r="G186" s="6">
        <v>3.96</v>
      </c>
      <c r="H186" s="7" t="s">
        <v>15</v>
      </c>
      <c r="I186" s="1" t="s">
        <v>144</v>
      </c>
      <c r="J186" s="1" t="s">
        <v>144</v>
      </c>
      <c r="K186" s="1"/>
      <c r="L186" s="1" t="s">
        <v>144</v>
      </c>
      <c r="M186" s="10">
        <f>Tableau3[[#This Row],[CODE]]</f>
        <v>1867</v>
      </c>
    </row>
    <row r="187" spans="1:13">
      <c r="A187" s="3">
        <v>3155</v>
      </c>
      <c r="B187" s="9" t="s">
        <v>596</v>
      </c>
      <c r="C187" s="3" t="s">
        <v>171</v>
      </c>
      <c r="D187" s="4" t="s">
        <v>597</v>
      </c>
      <c r="E187" s="3" t="s">
        <v>146</v>
      </c>
      <c r="F187" s="5" t="s">
        <v>153</v>
      </c>
      <c r="G187" s="6">
        <v>4.92</v>
      </c>
      <c r="H187" s="7" t="s">
        <v>15</v>
      </c>
      <c r="I187" s="1" t="s">
        <v>144</v>
      </c>
      <c r="J187" s="1" t="s">
        <v>144</v>
      </c>
      <c r="K187" s="1"/>
      <c r="L187" s="1" t="s">
        <v>144</v>
      </c>
      <c r="M187" s="10">
        <f>Tableau3[[#This Row],[CODE]]</f>
        <v>3155</v>
      </c>
    </row>
    <row r="188" spans="1:13">
      <c r="A188" s="3">
        <v>1774</v>
      </c>
      <c r="B188" s="9" t="s">
        <v>598</v>
      </c>
      <c r="C188" s="3" t="s">
        <v>174</v>
      </c>
      <c r="D188" s="4" t="s">
        <v>599</v>
      </c>
      <c r="E188" s="3" t="s">
        <v>176</v>
      </c>
      <c r="F188" s="5"/>
      <c r="G188" s="6">
        <v>4.2300000000000004</v>
      </c>
      <c r="H188" s="7" t="s">
        <v>15</v>
      </c>
      <c r="I188" s="1" t="s">
        <v>144</v>
      </c>
      <c r="J188" s="1" t="s">
        <v>144</v>
      </c>
      <c r="K188" s="1"/>
      <c r="L188" s="1" t="s">
        <v>144</v>
      </c>
      <c r="M188" s="10">
        <f>Tableau3[[#This Row],[CODE]]</f>
        <v>1774</v>
      </c>
    </row>
    <row r="189" spans="1:13">
      <c r="A189" s="3">
        <v>6254</v>
      </c>
      <c r="B189" s="9" t="s">
        <v>600</v>
      </c>
      <c r="C189" s="3" t="s">
        <v>174</v>
      </c>
      <c r="D189" s="4" t="s">
        <v>601</v>
      </c>
      <c r="E189" s="3" t="s">
        <v>176</v>
      </c>
      <c r="F189" s="5"/>
      <c r="G189" s="6">
        <v>4.51</v>
      </c>
      <c r="H189" s="7" t="s">
        <v>15</v>
      </c>
      <c r="I189" s="1" t="s">
        <v>198</v>
      </c>
      <c r="J189" s="1" t="s">
        <v>198</v>
      </c>
      <c r="K189" s="1"/>
      <c r="L189" s="1" t="s">
        <v>198</v>
      </c>
      <c r="M189" s="10">
        <f>Tableau3[[#This Row],[CODE]]</f>
        <v>6254</v>
      </c>
    </row>
    <row r="190" spans="1:13" ht="22.5">
      <c r="A190" s="3">
        <v>1073</v>
      </c>
      <c r="B190" s="9" t="s">
        <v>602</v>
      </c>
      <c r="C190" s="3" t="s">
        <v>359</v>
      </c>
      <c r="D190" s="4" t="s">
        <v>603</v>
      </c>
      <c r="E190" s="3" t="s">
        <v>361</v>
      </c>
      <c r="F190" s="5" t="s">
        <v>153</v>
      </c>
      <c r="G190" s="6">
        <v>6.82</v>
      </c>
      <c r="H190" s="7" t="s">
        <v>14</v>
      </c>
      <c r="I190" s="1" t="s">
        <v>144</v>
      </c>
      <c r="J190" s="1" t="s">
        <v>144</v>
      </c>
      <c r="K190" s="1"/>
      <c r="L190" s="1"/>
      <c r="M190" s="10">
        <f>Tableau3[[#This Row],[CODE]]</f>
        <v>1073</v>
      </c>
    </row>
    <row r="191" spans="1:13" ht="22.5">
      <c r="A191" s="3">
        <v>3752</v>
      </c>
      <c r="B191" s="9" t="s">
        <v>604</v>
      </c>
      <c r="D191" s="4" t="s">
        <v>605</v>
      </c>
      <c r="E191" s="3" t="s">
        <v>148</v>
      </c>
      <c r="F191" s="5" t="s">
        <v>153</v>
      </c>
      <c r="G191" s="6">
        <v>5.88</v>
      </c>
      <c r="H191" s="7" t="s">
        <v>18</v>
      </c>
      <c r="I191" s="1"/>
      <c r="J191" s="1"/>
      <c r="K191" s="1"/>
      <c r="L191" s="1"/>
      <c r="M191" s="10">
        <f>Tableau3[[#This Row],[CODE]]</f>
        <v>3752</v>
      </c>
    </row>
    <row r="192" spans="1:13" ht="22.5">
      <c r="A192" s="3">
        <v>3713</v>
      </c>
      <c r="B192" s="9" t="s">
        <v>606</v>
      </c>
      <c r="C192" s="3" t="s">
        <v>607</v>
      </c>
      <c r="D192" s="4" t="s">
        <v>608</v>
      </c>
      <c r="E192" s="3" t="s">
        <v>609</v>
      </c>
      <c r="F192" s="5" t="s">
        <v>153</v>
      </c>
      <c r="G192" s="6">
        <v>2.4500000000000002</v>
      </c>
      <c r="H192" s="7" t="s">
        <v>15</v>
      </c>
      <c r="I192" s="1" t="s">
        <v>144</v>
      </c>
      <c r="J192" s="1"/>
      <c r="K192" s="1"/>
      <c r="L192" s="1"/>
      <c r="M192" s="10">
        <f>Tableau3[[#This Row],[CODE]]</f>
        <v>3713</v>
      </c>
    </row>
    <row r="193" spans="1:13" ht="22.5">
      <c r="A193" s="3">
        <v>1358</v>
      </c>
      <c r="B193" s="9" t="s">
        <v>610</v>
      </c>
      <c r="C193" s="3" t="s">
        <v>611</v>
      </c>
      <c r="D193" s="4" t="s">
        <v>612</v>
      </c>
      <c r="E193" s="3" t="s">
        <v>613</v>
      </c>
      <c r="F193" s="5" t="s">
        <v>153</v>
      </c>
      <c r="G193" s="6">
        <v>6.7</v>
      </c>
      <c r="H193" s="7" t="s">
        <v>14</v>
      </c>
      <c r="I193" s="1" t="s">
        <v>144</v>
      </c>
      <c r="J193" s="1"/>
      <c r="K193" s="1"/>
      <c r="L193" s="1"/>
      <c r="M193" s="10">
        <f>Tableau3[[#This Row],[CODE]]</f>
        <v>1358</v>
      </c>
    </row>
    <row r="194" spans="1:13" ht="22.5">
      <c r="A194" s="3">
        <v>1860</v>
      </c>
      <c r="B194" s="9" t="s">
        <v>614</v>
      </c>
      <c r="C194" s="3" t="s">
        <v>363</v>
      </c>
      <c r="D194" s="4" t="s">
        <v>615</v>
      </c>
      <c r="E194" s="3" t="s">
        <v>616</v>
      </c>
      <c r="F194" s="5" t="s">
        <v>343</v>
      </c>
      <c r="G194" s="6">
        <v>8.19</v>
      </c>
      <c r="H194" s="7" t="s">
        <v>14</v>
      </c>
      <c r="I194" s="1" t="s">
        <v>144</v>
      </c>
      <c r="J194" s="1" t="s">
        <v>144</v>
      </c>
      <c r="K194" s="1"/>
      <c r="L194" s="1"/>
      <c r="M194" s="10">
        <f>Tableau3[[#This Row],[CODE]]</f>
        <v>1860</v>
      </c>
    </row>
    <row r="195" spans="1:13">
      <c r="A195" s="3">
        <v>1496</v>
      </c>
      <c r="B195" s="9" t="s">
        <v>617</v>
      </c>
      <c r="C195" s="3" t="s">
        <v>162</v>
      </c>
      <c r="D195" s="4" t="s">
        <v>618</v>
      </c>
      <c r="E195" s="3" t="s">
        <v>162</v>
      </c>
      <c r="F195" s="5" t="s">
        <v>153</v>
      </c>
      <c r="G195" s="6">
        <v>19.579999999999998</v>
      </c>
      <c r="H195" s="7" t="s">
        <v>18</v>
      </c>
      <c r="I195" s="1"/>
      <c r="J195" s="1"/>
      <c r="K195" s="1"/>
      <c r="L195" s="1"/>
      <c r="M195" s="10">
        <f>Tableau3[[#This Row],[CODE]]</f>
        <v>1496</v>
      </c>
    </row>
    <row r="196" spans="1:13">
      <c r="A196" s="3">
        <v>1496</v>
      </c>
      <c r="B196" s="9" t="s">
        <v>617</v>
      </c>
      <c r="C196" s="3" t="s">
        <v>162</v>
      </c>
      <c r="D196" s="4" t="s">
        <v>619</v>
      </c>
      <c r="E196" s="3" t="s">
        <v>162</v>
      </c>
      <c r="F196" s="5" t="s">
        <v>153</v>
      </c>
      <c r="G196" s="6">
        <v>37.659999999999997</v>
      </c>
      <c r="H196" s="7" t="s">
        <v>15</v>
      </c>
      <c r="I196" s="1"/>
      <c r="J196" s="1"/>
      <c r="K196" s="1"/>
      <c r="L196" s="1"/>
      <c r="M196" s="10">
        <f>Tableau3[[#This Row],[CODE]]</f>
        <v>1496</v>
      </c>
    </row>
    <row r="197" spans="1:13">
      <c r="A197" s="3">
        <v>1612</v>
      </c>
      <c r="B197" s="9" t="s">
        <v>620</v>
      </c>
      <c r="C197" s="3" t="s">
        <v>150</v>
      </c>
      <c r="D197" s="4" t="s">
        <v>621</v>
      </c>
      <c r="E197" s="3" t="s">
        <v>150</v>
      </c>
      <c r="F197" s="5" t="s">
        <v>153</v>
      </c>
      <c r="G197" s="6">
        <v>35.590000000000003</v>
      </c>
      <c r="H197" s="7" t="s">
        <v>14</v>
      </c>
      <c r="I197" s="1"/>
      <c r="J197" s="1"/>
      <c r="K197" s="1"/>
      <c r="L197" s="1"/>
      <c r="M197" s="10">
        <f>Tableau3[[#This Row],[CODE]]</f>
        <v>1612</v>
      </c>
    </row>
    <row r="198" spans="1:13">
      <c r="A198" s="3">
        <v>1612</v>
      </c>
      <c r="B198" s="9" t="s">
        <v>622</v>
      </c>
      <c r="C198" s="3" t="s">
        <v>150</v>
      </c>
      <c r="D198" s="4" t="s">
        <v>623</v>
      </c>
      <c r="E198" s="3" t="s">
        <v>150</v>
      </c>
      <c r="F198" s="5" t="s">
        <v>153</v>
      </c>
      <c r="G198" s="6">
        <v>18.48</v>
      </c>
      <c r="H198" s="7" t="s">
        <v>14</v>
      </c>
      <c r="I198" s="1"/>
      <c r="J198" s="1"/>
      <c r="K198" s="1"/>
      <c r="L198" s="1"/>
      <c r="M198" s="10">
        <f>Tableau3[[#This Row],[CODE]]</f>
        <v>1612</v>
      </c>
    </row>
    <row r="199" spans="1:13">
      <c r="A199" s="3">
        <v>1575</v>
      </c>
      <c r="B199" s="9" t="s">
        <v>624</v>
      </c>
      <c r="C199" s="3" t="s">
        <v>625</v>
      </c>
      <c r="D199" s="4" t="s">
        <v>626</v>
      </c>
      <c r="E199" s="3" t="s">
        <v>627</v>
      </c>
      <c r="F199" s="5" t="s">
        <v>153</v>
      </c>
      <c r="G199" s="6">
        <v>11.91</v>
      </c>
      <c r="H199" s="7" t="s">
        <v>15</v>
      </c>
      <c r="I199" s="1" t="s">
        <v>144</v>
      </c>
      <c r="J199" s="1"/>
      <c r="K199" s="1"/>
      <c r="L199" s="1"/>
      <c r="M199" s="10">
        <f>Tableau3[[#This Row],[CODE]]</f>
        <v>1575</v>
      </c>
    </row>
    <row r="200" spans="1:13" ht="22.5">
      <c r="A200" s="3">
        <v>6110</v>
      </c>
      <c r="B200" s="9" t="s">
        <v>628</v>
      </c>
      <c r="C200" s="3" t="s">
        <v>295</v>
      </c>
      <c r="D200" s="4" t="s">
        <v>629</v>
      </c>
      <c r="E200" s="3" t="s">
        <v>497</v>
      </c>
      <c r="F200" s="5" t="s">
        <v>153</v>
      </c>
      <c r="G200" s="6">
        <v>7.25</v>
      </c>
      <c r="H200" s="7" t="s">
        <v>19</v>
      </c>
      <c r="I200" s="166"/>
      <c r="J200" s="166"/>
      <c r="K200" s="166"/>
      <c r="L200" s="166"/>
      <c r="M200" s="10">
        <f>Tableau3[[#This Row],[CODE]]</f>
        <v>6110</v>
      </c>
    </row>
    <row r="201" spans="1:13" ht="22.5">
      <c r="A201" s="3">
        <v>6110</v>
      </c>
      <c r="B201" s="9" t="s">
        <v>628</v>
      </c>
      <c r="C201" s="3" t="s">
        <v>295</v>
      </c>
      <c r="D201" s="4" t="s">
        <v>630</v>
      </c>
      <c r="E201" s="3" t="s">
        <v>497</v>
      </c>
      <c r="F201" s="5" t="s">
        <v>153</v>
      </c>
      <c r="G201" s="6">
        <v>32.85</v>
      </c>
      <c r="H201" s="7" t="s">
        <v>15</v>
      </c>
      <c r="I201" s="166"/>
      <c r="J201" s="166"/>
      <c r="K201" s="166"/>
      <c r="L201" s="166"/>
      <c r="M201" s="10">
        <f>Tableau3[[#This Row],[CODE]]</f>
        <v>6110</v>
      </c>
    </row>
  </sheetData>
  <conditionalFormatting sqref="H69 H200:H201">
    <cfRule type="expression" dxfId="1" priority="2">
      <formula>COUNTIF($C69,"*BIO*")&gt;0</formula>
    </cfRule>
  </conditionalFormatting>
  <conditionalFormatting sqref="H2:H68 H70:H199">
    <cfRule type="expression" dxfId="0" priority="3">
      <formula>COUNTIF($C2,"*BIO*")&gt;0</formula>
    </cfRule>
  </conditionalFormatting>
  <dataValidations count="1">
    <dataValidation type="list" allowBlank="1" showInputMessage="1" showErrorMessage="1" sqref="H2:H201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theme="9"/>
  </sheetPr>
  <dimension ref="B1:F21"/>
  <sheetViews>
    <sheetView workbookViewId="0">
      <selection activeCell="B2" sqref="B2:F2"/>
    </sheetView>
  </sheetViews>
  <sheetFormatPr baseColWidth="10" defaultRowHeight="15"/>
  <cols>
    <col min="1" max="1" width="2.42578125" customWidth="1"/>
    <col min="2" max="2" width="9.7109375" bestFit="1" customWidth="1"/>
    <col min="3" max="3" width="42.85546875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173" t="s">
        <v>119</v>
      </c>
      <c r="E1" s="173"/>
      <c r="F1" s="173"/>
    </row>
    <row r="2" spans="2:6">
      <c r="B2" t="s">
        <v>2</v>
      </c>
      <c r="C2" t="s">
        <v>115</v>
      </c>
      <c r="D2" t="s">
        <v>116</v>
      </c>
      <c r="E2" t="s">
        <v>117</v>
      </c>
      <c r="F2" t="s">
        <v>118</v>
      </c>
    </row>
    <row r="3" spans="2:6">
      <c r="B3">
        <v>3020</v>
      </c>
      <c r="C3" t="s">
        <v>181</v>
      </c>
      <c r="D3">
        <v>13.11</v>
      </c>
      <c r="E3">
        <v>5.38</v>
      </c>
      <c r="F3">
        <v>70.53179999999999</v>
      </c>
    </row>
    <row r="4" spans="2:6">
      <c r="B4">
        <v>3009</v>
      </c>
      <c r="C4" t="s">
        <v>199</v>
      </c>
      <c r="E4">
        <v>10.89</v>
      </c>
      <c r="F4">
        <v>0</v>
      </c>
    </row>
    <row r="5" spans="2:6">
      <c r="B5">
        <v>1937</v>
      </c>
      <c r="C5" t="s">
        <v>229</v>
      </c>
      <c r="D5">
        <v>1</v>
      </c>
      <c r="E5">
        <v>23.34</v>
      </c>
      <c r="F5">
        <v>23.34</v>
      </c>
    </row>
    <row r="6" spans="2:6">
      <c r="B6">
        <v>1034</v>
      </c>
      <c r="C6" t="s">
        <v>241</v>
      </c>
      <c r="D6">
        <v>5.15</v>
      </c>
      <c r="E6">
        <v>3.9</v>
      </c>
      <c r="F6">
        <v>20.085000000000001</v>
      </c>
    </row>
    <row r="7" spans="2:6">
      <c r="B7">
        <v>5037</v>
      </c>
      <c r="C7" t="s">
        <v>264</v>
      </c>
      <c r="D7">
        <v>1</v>
      </c>
      <c r="E7">
        <v>15.12</v>
      </c>
      <c r="F7">
        <v>15.12</v>
      </c>
    </row>
    <row r="8" spans="2:6">
      <c r="B8">
        <v>6094</v>
      </c>
      <c r="C8" t="s">
        <v>276</v>
      </c>
      <c r="D8">
        <v>5.09</v>
      </c>
      <c r="E8">
        <v>2.67</v>
      </c>
      <c r="F8">
        <v>13.590299999999999</v>
      </c>
    </row>
    <row r="9" spans="2:6">
      <c r="B9">
        <v>1320</v>
      </c>
      <c r="C9" t="s">
        <v>306</v>
      </c>
      <c r="D9">
        <v>5</v>
      </c>
      <c r="E9">
        <v>12.38</v>
      </c>
      <c r="F9">
        <v>61.900000000000006</v>
      </c>
    </row>
    <row r="10" spans="2:6">
      <c r="B10">
        <v>1399</v>
      </c>
      <c r="C10" t="s">
        <v>310</v>
      </c>
      <c r="D10">
        <v>3</v>
      </c>
      <c r="E10">
        <v>6.09</v>
      </c>
      <c r="F10">
        <v>18.27</v>
      </c>
    </row>
    <row r="11" spans="2:6">
      <c r="B11">
        <v>3377</v>
      </c>
      <c r="C11" t="s">
        <v>317</v>
      </c>
      <c r="D11">
        <v>1</v>
      </c>
      <c r="E11">
        <v>11.45</v>
      </c>
      <c r="F11">
        <v>11.45</v>
      </c>
    </row>
    <row r="12" spans="2:6">
      <c r="B12" t="s">
        <v>350</v>
      </c>
      <c r="C12" t="s">
        <v>351</v>
      </c>
      <c r="E12">
        <v>9.64</v>
      </c>
      <c r="F12">
        <v>0</v>
      </c>
    </row>
    <row r="13" spans="2:6">
      <c r="B13">
        <v>3265</v>
      </c>
      <c r="C13" t="s">
        <v>385</v>
      </c>
      <c r="D13">
        <v>2.8</v>
      </c>
      <c r="E13">
        <v>5</v>
      </c>
      <c r="F13">
        <v>14</v>
      </c>
    </row>
    <row r="14" spans="2:6">
      <c r="B14">
        <v>1618</v>
      </c>
      <c r="C14" t="s">
        <v>387</v>
      </c>
      <c r="E14">
        <v>5.68</v>
      </c>
      <c r="F14">
        <v>0</v>
      </c>
    </row>
    <row r="15" spans="2:6">
      <c r="B15">
        <v>1755</v>
      </c>
      <c r="C15" t="s">
        <v>400</v>
      </c>
      <c r="D15">
        <v>1</v>
      </c>
      <c r="E15">
        <v>19.23</v>
      </c>
      <c r="F15">
        <v>19.23</v>
      </c>
    </row>
    <row r="16" spans="2:6">
      <c r="B16">
        <v>6118</v>
      </c>
      <c r="C16" t="s">
        <v>434</v>
      </c>
      <c r="D16">
        <v>6.06</v>
      </c>
      <c r="E16">
        <v>4.45</v>
      </c>
      <c r="F16">
        <v>26.966999999999999</v>
      </c>
    </row>
    <row r="17" spans="2:6">
      <c r="B17">
        <v>1508</v>
      </c>
      <c r="C17" t="s">
        <v>436</v>
      </c>
      <c r="E17">
        <v>8.27</v>
      </c>
      <c r="F17">
        <v>0</v>
      </c>
    </row>
    <row r="18" spans="2:6">
      <c r="B18">
        <v>3215</v>
      </c>
      <c r="C18" t="s">
        <v>465</v>
      </c>
      <c r="D18">
        <v>4</v>
      </c>
      <c r="E18">
        <v>7.6</v>
      </c>
      <c r="F18">
        <v>30.4</v>
      </c>
    </row>
    <row r="19" spans="2:6">
      <c r="B19">
        <v>3112</v>
      </c>
      <c r="C19" t="s">
        <v>473</v>
      </c>
      <c r="D19">
        <v>8.4</v>
      </c>
      <c r="E19">
        <v>3.35</v>
      </c>
      <c r="F19">
        <v>28.14</v>
      </c>
    </row>
    <row r="20" spans="2:6">
      <c r="B20">
        <v>3713</v>
      </c>
      <c r="C20" t="s">
        <v>606</v>
      </c>
      <c r="D20">
        <v>1</v>
      </c>
      <c r="E20">
        <v>3.9</v>
      </c>
      <c r="F20">
        <v>3.9</v>
      </c>
    </row>
    <row r="21" spans="2:6">
      <c r="B21">
        <v>1860</v>
      </c>
      <c r="C21" t="s">
        <v>614</v>
      </c>
      <c r="D21">
        <v>1</v>
      </c>
      <c r="E21">
        <v>9.64</v>
      </c>
      <c r="F21">
        <v>9.64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H19" sqref="H19"/>
    </sheetView>
  </sheetViews>
  <sheetFormatPr baseColWidth="10" defaultRowHeight="15"/>
  <cols>
    <col min="3" max="3" width="15.5703125" bestFit="1" customWidth="1"/>
  </cols>
  <sheetData>
    <row r="1" spans="2:3">
      <c r="B1" s="13" t="s">
        <v>20</v>
      </c>
      <c r="C1" s="14" t="s">
        <v>26</v>
      </c>
    </row>
    <row r="2" spans="2:3">
      <c r="B2" t="s">
        <v>21</v>
      </c>
      <c r="C2" s="12" t="s">
        <v>27</v>
      </c>
    </row>
    <row r="3" spans="2:3">
      <c r="B3" t="s">
        <v>22</v>
      </c>
      <c r="C3" s="12" t="s">
        <v>28</v>
      </c>
    </row>
    <row r="4" spans="2:3">
      <c r="B4" t="s">
        <v>23</v>
      </c>
      <c r="C4" s="12" t="s">
        <v>29</v>
      </c>
    </row>
    <row r="5" spans="2:3">
      <c r="B5" t="s">
        <v>646</v>
      </c>
      <c r="C5" s="12" t="s">
        <v>647</v>
      </c>
    </row>
    <row r="6" spans="2:3">
      <c r="B6" s="15" t="s">
        <v>9</v>
      </c>
      <c r="C6" s="13" t="s">
        <v>30</v>
      </c>
    </row>
    <row r="7" spans="2:3">
      <c r="B7" t="s">
        <v>14</v>
      </c>
      <c r="C7" t="s">
        <v>31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5" t="s">
        <v>109</v>
      </c>
    </row>
    <row r="14" spans="2:3">
      <c r="B14" s="118" t="s">
        <v>110</v>
      </c>
    </row>
    <row r="15" spans="2:3">
      <c r="B15" s="118" t="s">
        <v>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zoomScaleNormal="100" workbookViewId="0">
      <selection activeCell="G25" sqref="G25"/>
    </sheetView>
  </sheetViews>
  <sheetFormatPr baseColWidth="10" defaultRowHeight="15"/>
  <cols>
    <col min="1" max="1" width="0.85546875" style="140" customWidth="1"/>
    <col min="2" max="2" width="13.5703125" style="36" customWidth="1"/>
    <col min="3" max="3" width="4" style="36" customWidth="1"/>
    <col min="4" max="4" width="5.7109375" style="36" bestFit="1" customWidth="1"/>
    <col min="5" max="5" width="36.28515625" style="36" customWidth="1"/>
    <col min="6" max="6" width="8.5703125" style="36" customWidth="1"/>
    <col min="7" max="7" width="6.85546875" style="36" bestFit="1" customWidth="1"/>
    <col min="8" max="8" width="10.85546875" style="36" customWidth="1"/>
    <col min="9" max="9" width="45" style="36" customWidth="1"/>
    <col min="10" max="10" width="0.85546875" style="140" customWidth="1"/>
    <col min="11" max="11" width="5.140625" style="140" customWidth="1"/>
    <col min="12" max="12" width="15" customWidth="1"/>
    <col min="13" max="13" width="71" customWidth="1"/>
    <col min="14" max="14" width="5.140625" style="140" customWidth="1"/>
    <col min="16" max="223" width="11.42578125" customWidth="1"/>
  </cols>
  <sheetData>
    <row r="1" spans="1:19" s="140" customFormat="1" ht="5.0999999999999996" customHeight="1" thickBot="1">
      <c r="A1" s="141"/>
      <c r="B1" s="142"/>
      <c r="C1" s="142"/>
      <c r="D1" s="142"/>
      <c r="E1" s="142"/>
      <c r="F1" s="142"/>
      <c r="G1" s="142"/>
      <c r="H1" s="142"/>
      <c r="I1" s="142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1:19" ht="29.25">
      <c r="A2" s="141"/>
      <c r="B2" s="178" t="s">
        <v>44</v>
      </c>
      <c r="C2" s="179"/>
      <c r="D2" s="179"/>
      <c r="E2" s="179"/>
      <c r="F2" s="179"/>
      <c r="G2" s="179"/>
      <c r="H2" s="179"/>
      <c r="I2" s="180"/>
      <c r="J2" s="141"/>
      <c r="K2" s="141"/>
      <c r="L2" s="174" t="s">
        <v>122</v>
      </c>
      <c r="M2" s="175"/>
      <c r="N2" s="141"/>
      <c r="O2" s="141"/>
      <c r="P2" s="141"/>
      <c r="Q2" s="141"/>
      <c r="R2" s="141"/>
      <c r="S2" s="141"/>
    </row>
    <row r="3" spans="1:19" ht="15.75">
      <c r="A3" s="141"/>
      <c r="B3" s="181" t="s">
        <v>45</v>
      </c>
      <c r="C3" s="182"/>
      <c r="D3" s="182"/>
      <c r="E3" s="182"/>
      <c r="F3" s="182"/>
      <c r="G3" s="182"/>
      <c r="H3" s="182"/>
      <c r="I3" s="183"/>
      <c r="J3" s="141"/>
      <c r="K3" s="141"/>
      <c r="L3" s="123"/>
      <c r="M3" s="124"/>
      <c r="N3" s="141"/>
      <c r="O3" s="141"/>
      <c r="P3" s="141"/>
      <c r="Q3" s="141"/>
      <c r="R3" s="141"/>
      <c r="S3" s="141"/>
    </row>
    <row r="4" spans="1:19" ht="20.25">
      <c r="A4" s="141"/>
      <c r="B4" s="200" t="s">
        <v>121</v>
      </c>
      <c r="C4" s="201"/>
      <c r="D4" s="201"/>
      <c r="E4" s="201"/>
      <c r="F4" s="201"/>
      <c r="G4" s="201"/>
      <c r="H4" s="201"/>
      <c r="I4" s="202"/>
      <c r="J4" s="141"/>
      <c r="K4" s="141"/>
      <c r="L4" s="129" t="s">
        <v>123</v>
      </c>
      <c r="M4" s="124"/>
      <c r="N4" s="141"/>
      <c r="O4" s="141"/>
      <c r="P4" s="141"/>
      <c r="Q4" s="141"/>
      <c r="R4" s="141"/>
      <c r="S4" s="141"/>
    </row>
    <row r="5" spans="1:19">
      <c r="A5" s="141"/>
      <c r="B5" s="185" t="s">
        <v>47</v>
      </c>
      <c r="C5" s="186"/>
      <c r="D5" s="186"/>
      <c r="E5" s="186"/>
      <c r="F5" s="187" t="s">
        <v>48</v>
      </c>
      <c r="G5" s="187"/>
      <c r="H5" s="187"/>
      <c r="I5" s="188"/>
      <c r="J5" s="141"/>
      <c r="K5" s="141"/>
      <c r="L5" s="123"/>
      <c r="M5" s="124"/>
      <c r="N5" s="141"/>
      <c r="O5" s="141"/>
      <c r="P5" s="141"/>
      <c r="Q5" s="141"/>
      <c r="R5" s="141"/>
      <c r="S5" s="141"/>
    </row>
    <row r="6" spans="1:19">
      <c r="A6" s="141"/>
      <c r="B6" s="143" t="s">
        <v>49</v>
      </c>
      <c r="C6" s="144"/>
      <c r="D6" s="121"/>
      <c r="E6" s="122"/>
      <c r="F6" s="176" t="s">
        <v>51</v>
      </c>
      <c r="G6" s="176"/>
      <c r="H6" s="176"/>
      <c r="I6" s="145"/>
      <c r="J6" s="141"/>
      <c r="K6" s="141"/>
      <c r="L6" s="123" t="s">
        <v>0</v>
      </c>
      <c r="M6" s="135"/>
      <c r="N6" s="141"/>
      <c r="O6" s="141"/>
      <c r="P6" s="141"/>
      <c r="Q6" s="141"/>
      <c r="R6" s="141"/>
      <c r="S6" s="141"/>
    </row>
    <row r="7" spans="1:19">
      <c r="A7" s="141"/>
      <c r="B7" s="143" t="s">
        <v>53</v>
      </c>
      <c r="C7" s="144"/>
      <c r="D7" s="121"/>
      <c r="E7" s="122"/>
      <c r="F7" s="215" t="s">
        <v>55</v>
      </c>
      <c r="G7" s="215"/>
      <c r="H7" s="215"/>
      <c r="I7" s="145"/>
      <c r="J7" s="141"/>
      <c r="K7" s="141"/>
      <c r="L7" s="123" t="s">
        <v>1</v>
      </c>
      <c r="M7" s="136"/>
      <c r="N7" s="141"/>
      <c r="O7" s="141"/>
      <c r="P7" s="141"/>
      <c r="Q7" s="141"/>
      <c r="R7" s="141"/>
      <c r="S7" s="141"/>
    </row>
    <row r="8" spans="1:19">
      <c r="A8" s="141"/>
      <c r="B8" s="143" t="s">
        <v>57</v>
      </c>
      <c r="C8" s="144"/>
      <c r="D8" s="121"/>
      <c r="E8" s="122"/>
      <c r="F8" s="215" t="s">
        <v>59</v>
      </c>
      <c r="G8" s="215"/>
      <c r="H8" s="215"/>
      <c r="I8" s="145"/>
      <c r="J8" s="141"/>
      <c r="K8" s="141"/>
      <c r="L8" s="123" t="s">
        <v>25</v>
      </c>
      <c r="M8" s="137"/>
      <c r="N8" s="141"/>
      <c r="O8" s="141"/>
      <c r="P8" s="141"/>
      <c r="Q8" s="141"/>
      <c r="R8" s="141"/>
      <c r="S8" s="141"/>
    </row>
    <row r="9" spans="1:19">
      <c r="A9" s="141"/>
      <c r="B9" s="143" t="s">
        <v>61</v>
      </c>
      <c r="C9" s="144"/>
      <c r="D9" s="121"/>
      <c r="E9" s="122"/>
      <c r="F9" s="215" t="s">
        <v>63</v>
      </c>
      <c r="G9" s="215"/>
      <c r="H9" s="215"/>
      <c r="I9" s="216"/>
      <c r="J9" s="141"/>
      <c r="K9" s="141"/>
      <c r="L9" s="123"/>
      <c r="M9" s="124"/>
      <c r="N9" s="141"/>
      <c r="O9" s="141"/>
      <c r="P9" s="141"/>
      <c r="Q9" s="141"/>
      <c r="R9" s="141"/>
      <c r="S9" s="141"/>
    </row>
    <row r="10" spans="1:19">
      <c r="A10" s="141"/>
      <c r="B10" s="143" t="s">
        <v>64</v>
      </c>
      <c r="C10" s="144"/>
      <c r="D10" s="121"/>
      <c r="E10" s="122"/>
      <c r="F10" s="215"/>
      <c r="G10" s="215"/>
      <c r="H10" s="215"/>
      <c r="I10" s="216"/>
      <c r="J10" s="141"/>
      <c r="K10" s="141"/>
      <c r="L10" s="129" t="s">
        <v>124</v>
      </c>
      <c r="M10" s="124"/>
      <c r="N10" s="141"/>
      <c r="O10" s="141"/>
      <c r="P10" s="141"/>
      <c r="Q10" s="141"/>
      <c r="R10" s="141"/>
      <c r="S10" s="141"/>
    </row>
    <row r="11" spans="1:19">
      <c r="A11" s="141"/>
      <c r="B11" s="143" t="s">
        <v>59</v>
      </c>
      <c r="C11" s="144"/>
      <c r="D11" s="121"/>
      <c r="E11" s="122"/>
      <c r="F11" s="215" t="s">
        <v>65</v>
      </c>
      <c r="G11" s="215"/>
      <c r="H11" s="215"/>
      <c r="I11" s="145"/>
      <c r="J11" s="141"/>
      <c r="K11" s="141"/>
      <c r="L11" s="123"/>
      <c r="M11" s="124"/>
      <c r="N11" s="141"/>
      <c r="O11" s="141"/>
      <c r="P11" s="141"/>
      <c r="Q11" s="141"/>
      <c r="R11" s="141"/>
      <c r="S11" s="141"/>
    </row>
    <row r="12" spans="1:19">
      <c r="A12" s="141"/>
      <c r="B12" s="143" t="s">
        <v>55</v>
      </c>
      <c r="C12" s="144"/>
      <c r="D12" s="121"/>
      <c r="E12" s="122"/>
      <c r="F12" s="176" t="s">
        <v>67</v>
      </c>
      <c r="G12" s="176"/>
      <c r="H12" s="176"/>
      <c r="I12" s="177"/>
      <c r="J12" s="141"/>
      <c r="K12" s="141"/>
      <c r="L12" s="123" t="s">
        <v>125</v>
      </c>
      <c r="M12" s="138"/>
      <c r="N12" s="141"/>
      <c r="O12" s="141"/>
      <c r="P12" s="141"/>
      <c r="Q12" s="141"/>
      <c r="R12" s="141"/>
      <c r="S12" s="141"/>
    </row>
    <row r="13" spans="1:19">
      <c r="A13" s="141"/>
      <c r="B13" s="143" t="s">
        <v>68</v>
      </c>
      <c r="C13" s="144"/>
      <c r="D13" s="121"/>
      <c r="E13" s="122"/>
      <c r="F13" s="176"/>
      <c r="G13" s="176"/>
      <c r="H13" s="176"/>
      <c r="I13" s="177"/>
      <c r="J13" s="141"/>
      <c r="K13" s="141"/>
      <c r="L13" s="123" t="s">
        <v>112</v>
      </c>
      <c r="M13" s="139"/>
      <c r="N13" s="141"/>
      <c r="O13" s="141"/>
      <c r="P13" s="141"/>
      <c r="Q13" s="141"/>
      <c r="R13" s="141"/>
      <c r="S13" s="141"/>
    </row>
    <row r="14" spans="1:19">
      <c r="A14" s="141"/>
      <c r="B14" s="143" t="s">
        <v>70</v>
      </c>
      <c r="C14" s="144"/>
      <c r="D14" s="121"/>
      <c r="E14" s="163"/>
      <c r="F14" s="176" t="s">
        <v>65</v>
      </c>
      <c r="G14" s="176"/>
      <c r="H14" s="176"/>
      <c r="I14" s="145"/>
      <c r="J14" s="141"/>
      <c r="K14" s="141"/>
      <c r="L14" s="125"/>
      <c r="M14" s="126"/>
      <c r="N14" s="141"/>
      <c r="O14" s="141"/>
      <c r="P14" s="141"/>
      <c r="Q14" s="141"/>
      <c r="R14" s="141"/>
      <c r="S14" s="141"/>
    </row>
    <row r="15" spans="1:19">
      <c r="A15" s="141"/>
      <c r="B15" s="189" t="s">
        <v>72</v>
      </c>
      <c r="C15" s="190"/>
      <c r="D15" s="190"/>
      <c r="E15" s="190"/>
      <c r="F15" s="191" t="s">
        <v>137</v>
      </c>
      <c r="G15" s="191"/>
      <c r="H15" s="191"/>
      <c r="I15" s="192"/>
      <c r="J15" s="141"/>
      <c r="K15" s="141"/>
      <c r="L15" s="125"/>
      <c r="M15" s="126"/>
      <c r="N15" s="141"/>
      <c r="O15" s="141"/>
      <c r="P15" s="141"/>
      <c r="Q15" s="141"/>
      <c r="R15" s="141"/>
      <c r="S15" s="141"/>
    </row>
    <row r="16" spans="1:19" ht="15.75" thickBot="1">
      <c r="A16" s="141"/>
      <c r="B16" s="130" t="s">
        <v>113</v>
      </c>
      <c r="C16" s="131" t="s">
        <v>126</v>
      </c>
      <c r="D16" s="131" t="s">
        <v>32</v>
      </c>
      <c r="E16" s="132" t="s">
        <v>75</v>
      </c>
      <c r="F16" s="131" t="s">
        <v>42</v>
      </c>
      <c r="G16" s="131" t="s">
        <v>37</v>
      </c>
      <c r="H16" s="132" t="s">
        <v>38</v>
      </c>
      <c r="I16" s="133" t="s">
        <v>79</v>
      </c>
      <c r="J16" s="141"/>
      <c r="K16" s="141"/>
      <c r="L16" s="127"/>
      <c r="M16" s="128"/>
      <c r="N16" s="141"/>
      <c r="O16" s="141"/>
      <c r="P16" s="141"/>
      <c r="Q16" s="141"/>
      <c r="R16" s="141"/>
      <c r="S16" s="141"/>
    </row>
    <row r="17" spans="1:19">
      <c r="A17" s="141"/>
      <c r="B17" s="130"/>
      <c r="C17" s="134"/>
      <c r="D17" s="131"/>
      <c r="E17" s="132"/>
      <c r="F17" s="131"/>
      <c r="G17" s="131"/>
      <c r="H17" s="132"/>
      <c r="I17" s="133"/>
      <c r="J17" s="141"/>
      <c r="K17" s="141"/>
      <c r="L17" s="141"/>
      <c r="M17" s="141"/>
      <c r="N17" s="141"/>
      <c r="O17" s="141"/>
      <c r="P17" s="141"/>
      <c r="Q17" s="141"/>
      <c r="R17" s="141"/>
      <c r="S17" s="141"/>
    </row>
    <row r="18" spans="1:19" ht="15.75" thickBot="1">
      <c r="B18" s="146"/>
      <c r="C18" s="147"/>
      <c r="D18" s="147"/>
      <c r="E18" s="147"/>
      <c r="F18" s="147"/>
      <c r="G18" s="147"/>
      <c r="H18" s="147"/>
      <c r="I18" s="148"/>
      <c r="J18" s="141"/>
      <c r="K18" s="141"/>
      <c r="L18" s="141"/>
      <c r="M18" s="141"/>
      <c r="N18" s="141"/>
      <c r="O18" s="141"/>
      <c r="P18" s="141"/>
      <c r="Q18" s="141"/>
      <c r="R18" s="141"/>
      <c r="S18" s="141"/>
    </row>
    <row r="19" spans="1:19">
      <c r="B19" s="142"/>
      <c r="C19" s="142"/>
      <c r="D19" s="142"/>
      <c r="E19" s="142"/>
      <c r="F19" s="142"/>
      <c r="G19" s="142"/>
      <c r="H19" s="142"/>
      <c r="I19" s="142"/>
      <c r="J19" s="141"/>
      <c r="K19" s="141"/>
      <c r="L19" s="141"/>
      <c r="M19" s="141"/>
      <c r="N19" s="141"/>
      <c r="O19" s="141"/>
      <c r="P19" s="141"/>
      <c r="Q19" s="141"/>
      <c r="R19" s="141"/>
      <c r="S19" s="141"/>
    </row>
    <row r="20" spans="1:19">
      <c r="B20" s="142"/>
      <c r="C20" s="142"/>
      <c r="D20" s="142"/>
      <c r="E20" s="142"/>
      <c r="F20" s="142"/>
      <c r="G20" s="142"/>
      <c r="H20" s="142"/>
      <c r="I20" s="142"/>
      <c r="J20" s="141"/>
      <c r="K20" s="141"/>
      <c r="L20" s="141"/>
      <c r="M20" s="141"/>
      <c r="N20" s="141"/>
      <c r="O20" s="141"/>
      <c r="P20" s="141"/>
      <c r="Q20" s="141"/>
      <c r="R20" s="141"/>
      <c r="S20" s="141"/>
    </row>
    <row r="21" spans="1:19">
      <c r="B21" s="142"/>
      <c r="C21" s="142"/>
      <c r="D21" s="142"/>
      <c r="E21" s="142"/>
      <c r="F21" s="142"/>
      <c r="G21" s="142"/>
      <c r="H21" s="142"/>
      <c r="I21" s="142"/>
      <c r="J21" s="141"/>
      <c r="K21" s="141"/>
      <c r="L21" s="141"/>
      <c r="M21" s="141"/>
      <c r="N21" s="141"/>
      <c r="O21" s="141"/>
      <c r="P21" s="141"/>
      <c r="Q21" s="141"/>
      <c r="R21" s="141"/>
      <c r="S21" s="141"/>
    </row>
    <row r="22" spans="1:19">
      <c r="B22" s="142"/>
      <c r="C22" s="142"/>
      <c r="D22" s="142"/>
      <c r="E22" s="142"/>
      <c r="F22" s="142"/>
      <c r="G22" s="142"/>
      <c r="H22" s="142"/>
      <c r="I22" s="142"/>
      <c r="J22" s="141"/>
      <c r="K22" s="141"/>
      <c r="L22" s="141"/>
      <c r="M22" s="141"/>
      <c r="N22" s="141"/>
      <c r="O22" s="141"/>
      <c r="P22" s="141"/>
      <c r="Q22" s="141"/>
      <c r="R22" s="141"/>
      <c r="S22" s="141"/>
    </row>
    <row r="23" spans="1:19">
      <c r="B23" s="142"/>
      <c r="C23" s="142"/>
      <c r="D23" s="142"/>
      <c r="E23" s="142"/>
      <c r="F23" s="142"/>
      <c r="G23" s="142"/>
      <c r="H23" s="142"/>
      <c r="I23" s="142"/>
      <c r="J23" s="141"/>
      <c r="K23" s="141"/>
      <c r="L23" s="141"/>
      <c r="M23" s="141"/>
      <c r="N23" s="141"/>
      <c r="O23" s="141"/>
      <c r="P23" s="141"/>
      <c r="Q23" s="141"/>
      <c r="R23" s="141"/>
      <c r="S23" s="141"/>
    </row>
    <row r="24" spans="1:19">
      <c r="A24" s="141"/>
      <c r="B24" s="142"/>
      <c r="C24" s="142"/>
      <c r="D24" s="142"/>
      <c r="E24" s="142"/>
      <c r="F24" s="142"/>
      <c r="G24" s="142"/>
      <c r="H24" s="142"/>
      <c r="I24" s="142"/>
      <c r="J24" s="141"/>
      <c r="K24" s="141"/>
      <c r="L24" s="141"/>
      <c r="M24" s="141"/>
      <c r="N24" s="141"/>
      <c r="O24" s="141"/>
      <c r="P24" s="141"/>
      <c r="Q24" s="141"/>
      <c r="R24" s="141"/>
      <c r="S24" s="141"/>
    </row>
    <row r="25" spans="1:19">
      <c r="A25" s="141"/>
      <c r="B25" s="142"/>
      <c r="C25" s="142"/>
      <c r="D25" s="142"/>
      <c r="E25" s="142"/>
      <c r="F25" s="142"/>
      <c r="G25" s="142"/>
      <c r="H25" s="142"/>
      <c r="I25" s="142"/>
      <c r="J25" s="141"/>
      <c r="K25" s="141"/>
      <c r="L25" s="141"/>
      <c r="M25" s="141"/>
      <c r="N25" s="141"/>
      <c r="O25" s="141"/>
      <c r="P25" s="141"/>
      <c r="Q25" s="141"/>
      <c r="R25" s="141"/>
      <c r="S25" s="141"/>
    </row>
    <row r="26" spans="1:19">
      <c r="A26" s="141"/>
      <c r="B26" s="142"/>
      <c r="C26" s="142"/>
      <c r="D26" s="142"/>
      <c r="E26" s="142"/>
      <c r="F26" s="142"/>
      <c r="G26" s="142"/>
      <c r="H26" s="142"/>
      <c r="I26" s="142"/>
      <c r="J26" s="141"/>
      <c r="K26" s="141"/>
      <c r="L26" s="141"/>
      <c r="M26" s="141"/>
      <c r="N26" s="141"/>
      <c r="O26" s="141"/>
      <c r="P26" s="141"/>
      <c r="Q26" s="141"/>
      <c r="R26" s="141"/>
      <c r="S26" s="141"/>
    </row>
    <row r="27" spans="1:19">
      <c r="A27" s="141"/>
      <c r="B27" s="142"/>
      <c r="C27" s="142"/>
      <c r="D27" s="142"/>
      <c r="E27" s="142"/>
      <c r="F27" s="142"/>
      <c r="G27" s="142"/>
      <c r="H27" s="142"/>
      <c r="I27" s="142"/>
      <c r="J27" s="141"/>
      <c r="K27" s="141"/>
      <c r="L27" s="141"/>
      <c r="M27" s="141"/>
      <c r="N27" s="141"/>
      <c r="O27" s="141"/>
      <c r="P27" s="141"/>
      <c r="Q27" s="141"/>
      <c r="R27" s="141"/>
      <c r="S27" s="141"/>
    </row>
    <row r="28" spans="1:19">
      <c r="A28" s="141"/>
      <c r="B28" s="142"/>
      <c r="C28" s="142"/>
      <c r="D28" s="142"/>
      <c r="E28" s="142"/>
      <c r="F28" s="142"/>
      <c r="G28" s="142"/>
      <c r="H28" s="142"/>
      <c r="I28" s="142"/>
      <c r="J28" s="141"/>
      <c r="K28" s="141"/>
      <c r="L28" s="141"/>
      <c r="M28" s="141"/>
      <c r="N28" s="141"/>
      <c r="O28" s="141"/>
      <c r="P28" s="141"/>
      <c r="Q28" s="141"/>
      <c r="R28" s="141"/>
      <c r="S28" s="141"/>
    </row>
    <row r="29" spans="1:19">
      <c r="A29" s="141"/>
      <c r="B29" s="142"/>
      <c r="C29" s="142"/>
      <c r="D29" s="142"/>
      <c r="E29" s="142"/>
      <c r="F29" s="142"/>
      <c r="G29" s="142"/>
      <c r="H29" s="142"/>
      <c r="I29" s="142"/>
      <c r="J29" s="141"/>
      <c r="K29" s="141"/>
      <c r="L29" s="141"/>
      <c r="M29" s="141"/>
      <c r="N29" s="141"/>
      <c r="O29" s="141"/>
      <c r="P29" s="141"/>
      <c r="Q29" s="141"/>
      <c r="R29" s="141"/>
      <c r="S29" s="141"/>
    </row>
    <row r="30" spans="1:19">
      <c r="A30" s="141"/>
      <c r="B30" s="142"/>
      <c r="C30" s="142"/>
      <c r="D30" s="142"/>
      <c r="E30" s="142"/>
      <c r="F30" s="142"/>
      <c r="G30" s="142"/>
      <c r="H30" s="142"/>
      <c r="I30" s="142"/>
      <c r="J30" s="141"/>
      <c r="K30" s="141"/>
      <c r="L30" s="141"/>
      <c r="M30" s="141"/>
      <c r="N30" s="141"/>
      <c r="O30" s="141"/>
      <c r="P30" s="141"/>
      <c r="Q30" s="141"/>
      <c r="R30" s="141"/>
      <c r="S30" s="141"/>
    </row>
    <row r="31" spans="1:19">
      <c r="A31" s="141"/>
      <c r="B31" s="142"/>
      <c r="C31" s="142"/>
      <c r="D31" s="142"/>
      <c r="E31" s="142"/>
      <c r="F31" s="142"/>
      <c r="G31" s="142"/>
      <c r="H31" s="142"/>
      <c r="I31" s="142"/>
      <c r="J31" s="141"/>
      <c r="K31" s="141"/>
      <c r="L31" s="141"/>
      <c r="M31" s="141"/>
      <c r="N31" s="141"/>
      <c r="O31" s="141"/>
      <c r="P31" s="141"/>
      <c r="Q31" s="141"/>
      <c r="R31" s="141"/>
      <c r="S31" s="141"/>
    </row>
    <row r="32" spans="1:19">
      <c r="A32" s="141"/>
      <c r="B32" s="142"/>
      <c r="C32" s="142"/>
      <c r="D32" s="142"/>
      <c r="E32" s="142"/>
      <c r="F32" s="142"/>
      <c r="G32" s="142"/>
      <c r="H32" s="142"/>
      <c r="I32" s="142"/>
      <c r="J32" s="141"/>
      <c r="K32" s="141"/>
      <c r="L32" s="141"/>
      <c r="M32" s="141"/>
      <c r="N32" s="141"/>
      <c r="O32" s="141"/>
      <c r="P32" s="141"/>
      <c r="Q32" s="141"/>
      <c r="R32" s="141"/>
      <c r="S32" s="141"/>
    </row>
    <row r="33" spans="1:19">
      <c r="A33" s="141"/>
      <c r="B33" s="142"/>
      <c r="C33" s="142"/>
      <c r="D33" s="142"/>
      <c r="E33" s="142"/>
      <c r="F33" s="142"/>
      <c r="G33" s="142"/>
      <c r="H33" s="142"/>
      <c r="I33" s="142"/>
      <c r="J33" s="141"/>
      <c r="K33" s="141"/>
      <c r="L33" s="141"/>
      <c r="M33" s="141"/>
      <c r="N33" s="141"/>
      <c r="O33" s="141"/>
      <c r="P33" s="141"/>
      <c r="Q33" s="141"/>
      <c r="R33" s="141"/>
      <c r="S33" s="141"/>
    </row>
    <row r="34" spans="1:19">
      <c r="A34" s="141"/>
      <c r="B34" s="142"/>
      <c r="C34" s="142"/>
      <c r="D34" s="142"/>
      <c r="E34" s="142"/>
      <c r="F34" s="142"/>
      <c r="G34" s="142"/>
      <c r="H34" s="142"/>
      <c r="I34" s="142"/>
      <c r="J34" s="141"/>
      <c r="K34" s="141"/>
      <c r="L34" s="141"/>
      <c r="M34" s="141"/>
      <c r="N34" s="141"/>
      <c r="O34" s="141"/>
      <c r="P34" s="141"/>
      <c r="Q34" s="141"/>
      <c r="R34" s="141"/>
      <c r="S34" s="141"/>
    </row>
    <row r="35" spans="1:19">
      <c r="A35" s="141"/>
      <c r="B35" s="142"/>
      <c r="C35" s="142"/>
      <c r="D35" s="142"/>
      <c r="E35" s="142"/>
      <c r="F35" s="142"/>
      <c r="G35" s="142"/>
      <c r="H35" s="142"/>
      <c r="I35" s="142"/>
      <c r="J35" s="141"/>
      <c r="K35" s="141"/>
      <c r="L35" s="141"/>
      <c r="M35" s="141"/>
      <c r="N35" s="141"/>
      <c r="O35" s="141"/>
      <c r="P35" s="141"/>
      <c r="Q35" s="141"/>
      <c r="R35" s="141"/>
      <c r="S35" s="141"/>
    </row>
    <row r="36" spans="1:19">
      <c r="A36" s="141"/>
      <c r="B36" s="142"/>
      <c r="C36" s="142"/>
      <c r="D36" s="142"/>
      <c r="E36" s="142"/>
      <c r="F36" s="142"/>
      <c r="G36" s="142"/>
      <c r="H36" s="142"/>
      <c r="I36" s="142"/>
      <c r="J36" s="141"/>
      <c r="K36" s="141"/>
      <c r="L36" s="141"/>
      <c r="M36" s="141"/>
      <c r="N36" s="141"/>
      <c r="O36" s="141"/>
      <c r="P36" s="141"/>
      <c r="Q36" s="141"/>
      <c r="R36" s="141"/>
      <c r="S36" s="141"/>
    </row>
    <row r="37" spans="1:19">
      <c r="A37" s="141"/>
      <c r="B37" s="142"/>
      <c r="C37" s="142"/>
      <c r="D37" s="142"/>
      <c r="E37" s="142"/>
      <c r="F37" s="142"/>
      <c r="G37" s="142"/>
      <c r="H37" s="142"/>
      <c r="I37" s="142"/>
      <c r="J37" s="141"/>
      <c r="K37" s="141"/>
      <c r="L37" s="141"/>
      <c r="M37" s="141"/>
      <c r="N37" s="141"/>
      <c r="O37" s="141"/>
      <c r="P37" s="141"/>
      <c r="Q37" s="141"/>
      <c r="R37" s="141"/>
      <c r="S37" s="141"/>
    </row>
    <row r="38" spans="1:19">
      <c r="A38" s="141"/>
      <c r="B38" s="142"/>
      <c r="C38" s="142"/>
      <c r="D38" s="142"/>
      <c r="E38" s="142"/>
      <c r="F38" s="142"/>
      <c r="G38" s="142"/>
      <c r="H38" s="142"/>
      <c r="I38" s="142"/>
      <c r="J38" s="141"/>
      <c r="K38" s="141"/>
      <c r="L38" s="141"/>
      <c r="M38" s="141"/>
      <c r="N38" s="141"/>
      <c r="O38" s="141"/>
      <c r="P38" s="141"/>
      <c r="Q38" s="141"/>
      <c r="R38" s="141"/>
      <c r="S38" s="141"/>
    </row>
    <row r="39" spans="1:19">
      <c r="A39" s="141"/>
      <c r="B39" s="142"/>
      <c r="C39" s="142"/>
      <c r="D39" s="142"/>
      <c r="E39" s="142"/>
      <c r="F39" s="142"/>
      <c r="G39" s="142"/>
      <c r="H39" s="142"/>
      <c r="I39" s="142"/>
      <c r="J39" s="141"/>
      <c r="K39" s="141"/>
      <c r="L39" s="141"/>
      <c r="M39" s="141"/>
      <c r="N39" s="141"/>
      <c r="O39" s="141"/>
      <c r="P39" s="141"/>
      <c r="Q39" s="141"/>
      <c r="R39" s="141"/>
      <c r="S39" s="141"/>
    </row>
    <row r="40" spans="1:19">
      <c r="A40" s="141"/>
      <c r="B40" s="142"/>
      <c r="C40" s="142"/>
      <c r="D40" s="142"/>
      <c r="E40" s="142"/>
      <c r="F40" s="142"/>
      <c r="G40" s="142"/>
      <c r="H40" s="142"/>
      <c r="I40" s="142"/>
      <c r="J40" s="141"/>
      <c r="K40" s="141"/>
      <c r="L40" s="141"/>
      <c r="M40" s="141"/>
      <c r="N40" s="141"/>
      <c r="O40" s="141"/>
      <c r="P40" s="141"/>
      <c r="Q40" s="141"/>
      <c r="R40" s="141"/>
      <c r="S40" s="141"/>
    </row>
    <row r="41" spans="1:19">
      <c r="A41" s="141"/>
      <c r="B41" s="142"/>
      <c r="C41" s="142"/>
      <c r="D41" s="142"/>
      <c r="E41" s="142"/>
      <c r="F41" s="142"/>
      <c r="G41" s="142"/>
      <c r="H41" s="142"/>
      <c r="I41" s="142"/>
      <c r="J41" s="141"/>
      <c r="K41" s="141"/>
      <c r="L41" s="141"/>
      <c r="M41" s="141"/>
      <c r="N41" s="141"/>
      <c r="O41" s="141"/>
      <c r="P41" s="141"/>
      <c r="Q41" s="141"/>
      <c r="R41" s="141"/>
      <c r="S41" s="141"/>
    </row>
    <row r="42" spans="1:19">
      <c r="A42" s="141"/>
      <c r="B42" s="142"/>
      <c r="C42" s="142"/>
      <c r="D42" s="142"/>
      <c r="E42" s="142"/>
      <c r="F42" s="142"/>
      <c r="G42" s="142"/>
      <c r="H42" s="142"/>
      <c r="I42" s="142"/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spans="1:19">
      <c r="A43" s="141"/>
      <c r="B43" s="142"/>
      <c r="C43" s="142"/>
      <c r="D43" s="142"/>
      <c r="E43" s="142"/>
      <c r="F43" s="142"/>
      <c r="G43" s="142"/>
      <c r="H43" s="142"/>
      <c r="I43" s="142"/>
      <c r="J43" s="141"/>
      <c r="K43" s="141"/>
      <c r="L43" s="141"/>
      <c r="M43" s="141"/>
      <c r="N43" s="141"/>
      <c r="O43" s="141"/>
      <c r="P43" s="141"/>
      <c r="Q43" s="141"/>
      <c r="R43" s="141"/>
      <c r="S43" s="141"/>
    </row>
    <row r="44" spans="1:19">
      <c r="A44" s="141"/>
      <c r="B44" s="142"/>
      <c r="C44" s="142"/>
      <c r="D44" s="142"/>
      <c r="E44" s="142"/>
      <c r="F44" s="142"/>
      <c r="G44" s="142"/>
      <c r="H44" s="142"/>
      <c r="I44" s="142"/>
      <c r="J44" s="141"/>
      <c r="K44" s="141"/>
      <c r="L44" s="141"/>
      <c r="M44" s="141"/>
      <c r="N44" s="141"/>
      <c r="O44" s="141"/>
      <c r="P44" s="141"/>
      <c r="Q44" s="141"/>
      <c r="R44" s="141"/>
      <c r="S44" s="141"/>
    </row>
    <row r="45" spans="1:19">
      <c r="A45" s="141"/>
      <c r="B45" s="142"/>
      <c r="C45" s="142"/>
      <c r="D45" s="142"/>
      <c r="E45" s="142"/>
      <c r="F45" s="142"/>
      <c r="G45" s="142"/>
      <c r="H45" s="142"/>
      <c r="I45" s="142"/>
      <c r="J45" s="141"/>
      <c r="K45" s="141"/>
      <c r="L45" s="141"/>
      <c r="M45" s="141"/>
      <c r="N45" s="141"/>
      <c r="O45" s="141"/>
      <c r="P45" s="141"/>
      <c r="Q45" s="141"/>
      <c r="R45" s="141"/>
      <c r="S45" s="141"/>
    </row>
    <row r="46" spans="1:19">
      <c r="A46" s="141"/>
      <c r="B46" s="142"/>
      <c r="C46" s="142"/>
      <c r="D46" s="142"/>
      <c r="E46" s="142"/>
      <c r="F46" s="142"/>
      <c r="G46" s="142"/>
      <c r="H46" s="142"/>
      <c r="I46" s="142"/>
      <c r="J46" s="141"/>
      <c r="K46" s="141"/>
      <c r="L46" s="141"/>
      <c r="M46" s="141"/>
      <c r="N46" s="141"/>
      <c r="O46" s="141"/>
      <c r="P46" s="141"/>
      <c r="Q46" s="141"/>
      <c r="R46" s="141"/>
      <c r="S46" s="141"/>
    </row>
    <row r="47" spans="1:19">
      <c r="A47" s="141"/>
      <c r="B47" s="142"/>
      <c r="C47" s="142"/>
      <c r="D47" s="142"/>
      <c r="E47" s="142"/>
      <c r="F47" s="142"/>
      <c r="G47" s="142"/>
      <c r="H47" s="142"/>
      <c r="I47" s="142"/>
      <c r="J47" s="141"/>
      <c r="K47" s="141"/>
      <c r="L47" s="141"/>
      <c r="M47" s="141"/>
      <c r="N47" s="141"/>
      <c r="O47" s="141"/>
      <c r="P47" s="141"/>
      <c r="Q47" s="141"/>
      <c r="R47" s="141"/>
      <c r="S47" s="141"/>
    </row>
    <row r="48" spans="1:19">
      <c r="A48" s="141"/>
      <c r="B48" s="142"/>
      <c r="C48" s="142"/>
      <c r="D48" s="142"/>
      <c r="E48" s="142"/>
      <c r="F48" s="142"/>
      <c r="G48" s="142"/>
      <c r="H48" s="142"/>
      <c r="I48" s="142"/>
      <c r="J48" s="141"/>
      <c r="K48" s="141"/>
      <c r="L48" s="141"/>
      <c r="M48" s="141"/>
      <c r="N48" s="141"/>
      <c r="O48" s="141"/>
      <c r="P48" s="141"/>
      <c r="Q48" s="141"/>
      <c r="R48" s="141"/>
      <c r="S48" s="141"/>
    </row>
    <row r="49" spans="1:19">
      <c r="A49" s="141"/>
      <c r="B49" s="142"/>
      <c r="C49" s="142"/>
      <c r="D49" s="142"/>
      <c r="E49" s="142"/>
      <c r="F49" s="142"/>
      <c r="G49" s="142"/>
      <c r="H49" s="142"/>
      <c r="I49" s="142"/>
      <c r="J49" s="141"/>
      <c r="K49" s="141"/>
      <c r="L49" s="141"/>
      <c r="M49" s="141"/>
      <c r="N49" s="141"/>
      <c r="O49" s="141"/>
      <c r="P49" s="141"/>
      <c r="Q49" s="141"/>
      <c r="R49" s="141"/>
      <c r="S49" s="141"/>
    </row>
    <row r="50" spans="1:19">
      <c r="A50" s="141"/>
      <c r="B50" s="142"/>
      <c r="C50" s="142"/>
      <c r="D50" s="142"/>
      <c r="E50" s="142"/>
      <c r="F50" s="142"/>
      <c r="G50" s="142"/>
      <c r="H50" s="142"/>
      <c r="I50" s="142"/>
      <c r="J50" s="141"/>
      <c r="K50" s="141"/>
      <c r="L50" s="141"/>
      <c r="M50" s="141"/>
      <c r="N50" s="141"/>
      <c r="O50" s="141"/>
      <c r="P50" s="141"/>
      <c r="Q50" s="141"/>
      <c r="R50" s="141"/>
      <c r="S50" s="141"/>
    </row>
    <row r="51" spans="1:19">
      <c r="A51" s="141"/>
      <c r="B51" s="142"/>
      <c r="C51" s="142"/>
      <c r="D51" s="142"/>
      <c r="E51" s="142"/>
      <c r="F51" s="142"/>
      <c r="G51" s="142"/>
      <c r="H51" s="142"/>
      <c r="I51" s="142"/>
      <c r="J51" s="141"/>
      <c r="K51" s="141"/>
      <c r="L51" s="141"/>
      <c r="M51" s="141"/>
      <c r="N51" s="141"/>
      <c r="O51" s="141"/>
      <c r="P51" s="141"/>
      <c r="Q51" s="141"/>
      <c r="R51" s="141"/>
      <c r="S51" s="141"/>
    </row>
    <row r="52" spans="1:19">
      <c r="A52" s="141"/>
      <c r="B52" s="142"/>
      <c r="C52" s="142"/>
      <c r="D52" s="142"/>
      <c r="E52" s="142"/>
      <c r="F52" s="142"/>
      <c r="G52" s="142"/>
      <c r="H52" s="142"/>
      <c r="I52" s="142"/>
      <c r="J52" s="141"/>
      <c r="K52" s="141"/>
      <c r="L52" s="141"/>
      <c r="M52" s="141"/>
      <c r="N52" s="141"/>
      <c r="O52" s="141"/>
      <c r="P52" s="141"/>
      <c r="Q52" s="141"/>
      <c r="R52" s="141"/>
      <c r="S52" s="141"/>
    </row>
    <row r="53" spans="1:19">
      <c r="A53" s="141"/>
      <c r="B53" s="142"/>
      <c r="C53" s="142"/>
      <c r="D53" s="142"/>
      <c r="E53" s="142"/>
      <c r="F53" s="142"/>
      <c r="G53" s="142"/>
      <c r="H53" s="142"/>
      <c r="I53" s="142"/>
      <c r="J53" s="141"/>
      <c r="K53" s="141"/>
      <c r="L53" s="141"/>
      <c r="M53" s="141"/>
      <c r="N53" s="141"/>
      <c r="O53" s="141"/>
      <c r="P53" s="141"/>
      <c r="Q53" s="141"/>
      <c r="R53" s="141"/>
      <c r="S53" s="141"/>
    </row>
    <row r="54" spans="1:19">
      <c r="A54" s="141"/>
      <c r="B54" s="142"/>
      <c r="C54" s="142"/>
      <c r="D54" s="142"/>
      <c r="E54" s="142"/>
      <c r="F54" s="142"/>
      <c r="G54" s="142"/>
      <c r="H54" s="142"/>
      <c r="I54" s="142"/>
      <c r="J54" s="141"/>
      <c r="K54" s="141"/>
      <c r="L54" s="141"/>
      <c r="M54" s="141"/>
      <c r="N54" s="141"/>
      <c r="O54" s="141"/>
      <c r="P54" s="141"/>
      <c r="Q54" s="141"/>
      <c r="R54" s="141"/>
      <c r="S54" s="141"/>
    </row>
    <row r="55" spans="1:19">
      <c r="A55" s="141"/>
      <c r="B55" s="142"/>
      <c r="C55" s="142"/>
      <c r="D55" s="142"/>
      <c r="E55" s="142"/>
      <c r="F55" s="142"/>
      <c r="G55" s="142"/>
      <c r="H55" s="142"/>
      <c r="I55" s="142"/>
      <c r="J55" s="141"/>
      <c r="K55" s="141"/>
      <c r="L55" s="141"/>
      <c r="M55" s="141"/>
      <c r="N55" s="141"/>
      <c r="O55" s="141"/>
      <c r="P55" s="141"/>
      <c r="Q55" s="141"/>
      <c r="R55" s="141"/>
      <c r="S55" s="141"/>
    </row>
    <row r="56" spans="1:19">
      <c r="A56" s="141"/>
      <c r="B56" s="142"/>
      <c r="C56" s="142"/>
      <c r="D56" s="142"/>
      <c r="E56" s="142"/>
      <c r="F56" s="142"/>
      <c r="G56" s="142"/>
      <c r="H56" s="142"/>
      <c r="I56" s="142"/>
      <c r="J56" s="141"/>
      <c r="K56" s="141"/>
      <c r="L56" s="141"/>
      <c r="M56" s="141"/>
      <c r="N56" s="141"/>
      <c r="O56" s="141"/>
      <c r="P56" s="141"/>
      <c r="Q56" s="141"/>
      <c r="R56" s="141"/>
      <c r="S56" s="141"/>
    </row>
    <row r="57" spans="1:19">
      <c r="A57" s="141"/>
      <c r="B57" s="142"/>
      <c r="C57" s="142"/>
      <c r="D57" s="142"/>
      <c r="E57" s="142"/>
      <c r="F57" s="142"/>
      <c r="G57" s="142"/>
      <c r="H57" s="142"/>
      <c r="I57" s="142"/>
      <c r="J57" s="141"/>
      <c r="K57" s="141"/>
      <c r="L57" s="141"/>
      <c r="M57" s="141"/>
      <c r="N57" s="141"/>
      <c r="O57" s="141"/>
      <c r="P57" s="141"/>
      <c r="Q57" s="141"/>
      <c r="R57" s="141"/>
      <c r="S57" s="141"/>
    </row>
    <row r="58" spans="1:19">
      <c r="A58" s="141"/>
      <c r="B58" s="142"/>
      <c r="C58" s="142"/>
      <c r="D58" s="142"/>
      <c r="E58" s="142"/>
      <c r="F58" s="142"/>
      <c r="G58" s="142"/>
      <c r="H58" s="142"/>
      <c r="I58" s="142"/>
      <c r="J58" s="141"/>
      <c r="K58" s="141"/>
      <c r="L58" s="141"/>
      <c r="M58" s="141"/>
      <c r="N58" s="141"/>
      <c r="O58" s="141"/>
      <c r="P58" s="141"/>
      <c r="Q58" s="141"/>
      <c r="R58" s="141"/>
      <c r="S58" s="141"/>
    </row>
    <row r="59" spans="1:19">
      <c r="A59" s="141"/>
      <c r="B59" s="142"/>
      <c r="C59" s="142"/>
      <c r="D59" s="142"/>
      <c r="E59" s="142"/>
      <c r="F59" s="142"/>
      <c r="G59" s="142"/>
      <c r="H59" s="142"/>
      <c r="I59" s="142"/>
      <c r="J59" s="141"/>
      <c r="K59" s="141"/>
      <c r="L59" s="141"/>
      <c r="M59" s="141"/>
      <c r="N59" s="141"/>
      <c r="O59" s="141"/>
      <c r="P59" s="141"/>
      <c r="Q59" s="141"/>
      <c r="R59" s="141"/>
      <c r="S59" s="141"/>
    </row>
    <row r="60" spans="1:19">
      <c r="A60" s="141"/>
      <c r="B60" s="142"/>
      <c r="C60" s="142"/>
      <c r="D60" s="142"/>
      <c r="E60" s="142"/>
      <c r="F60" s="142"/>
      <c r="G60" s="142"/>
      <c r="H60" s="142"/>
      <c r="I60" s="142"/>
      <c r="J60" s="141"/>
      <c r="K60" s="141"/>
      <c r="L60" s="141"/>
      <c r="M60" s="141"/>
      <c r="N60" s="141"/>
      <c r="O60" s="141"/>
      <c r="P60" s="141"/>
      <c r="Q60" s="141"/>
      <c r="R60" s="141"/>
      <c r="S60" s="141"/>
    </row>
    <row r="61" spans="1:19">
      <c r="A61" s="141"/>
      <c r="B61" s="142"/>
      <c r="C61" s="142"/>
      <c r="D61" s="142"/>
      <c r="E61" s="142"/>
      <c r="F61" s="142"/>
      <c r="G61" s="142"/>
      <c r="H61" s="142"/>
      <c r="I61" s="142"/>
      <c r="J61" s="141"/>
      <c r="K61" s="141"/>
      <c r="L61" s="141"/>
      <c r="M61" s="141"/>
      <c r="N61" s="141"/>
      <c r="O61" s="141"/>
      <c r="P61" s="141"/>
      <c r="Q61" s="141"/>
      <c r="R61" s="141"/>
      <c r="S61" s="141"/>
    </row>
    <row r="62" spans="1:19">
      <c r="A62" s="141"/>
      <c r="B62" s="142"/>
      <c r="C62" s="142"/>
      <c r="D62" s="142"/>
      <c r="E62" s="142"/>
      <c r="F62" s="142"/>
      <c r="G62" s="142"/>
      <c r="H62" s="142"/>
      <c r="I62" s="142"/>
      <c r="J62" s="141"/>
      <c r="K62" s="141"/>
      <c r="L62" s="141"/>
      <c r="M62" s="141"/>
      <c r="N62" s="141"/>
      <c r="O62" s="141"/>
      <c r="P62" s="141"/>
      <c r="Q62" s="141"/>
      <c r="R62" s="141"/>
      <c r="S62" s="141"/>
    </row>
    <row r="63" spans="1:19">
      <c r="A63" s="141"/>
      <c r="B63" s="142"/>
      <c r="C63" s="142"/>
      <c r="D63" s="142"/>
      <c r="E63" s="142"/>
      <c r="F63" s="142"/>
      <c r="G63" s="142"/>
      <c r="H63" s="142"/>
      <c r="I63" s="142"/>
      <c r="J63" s="141"/>
      <c r="K63" s="141"/>
      <c r="L63" s="141"/>
      <c r="M63" s="141"/>
      <c r="N63" s="141"/>
      <c r="O63" s="141"/>
      <c r="P63" s="141"/>
      <c r="Q63" s="141"/>
      <c r="R63" s="141"/>
      <c r="S63" s="141"/>
    </row>
    <row r="64" spans="1:19">
      <c r="A64" s="141"/>
      <c r="B64" s="142"/>
      <c r="C64" s="142"/>
      <c r="D64" s="142"/>
      <c r="E64" s="142"/>
      <c r="F64" s="142"/>
      <c r="G64" s="142"/>
      <c r="H64" s="142"/>
      <c r="I64" s="142"/>
      <c r="J64" s="141"/>
      <c r="K64" s="141"/>
      <c r="L64" s="141"/>
      <c r="M64" s="141"/>
      <c r="N64" s="141"/>
      <c r="O64" s="141"/>
      <c r="P64" s="141"/>
      <c r="Q64" s="141"/>
      <c r="R64" s="141"/>
      <c r="S64" s="141"/>
    </row>
    <row r="65" spans="1:19">
      <c r="A65" s="141"/>
      <c r="B65" s="142"/>
      <c r="C65" s="142"/>
      <c r="D65" s="142"/>
      <c r="E65" s="142"/>
      <c r="F65" s="142"/>
      <c r="G65" s="142"/>
      <c r="H65" s="142"/>
      <c r="I65" s="142"/>
      <c r="J65" s="141"/>
      <c r="K65" s="141"/>
      <c r="L65" s="141"/>
      <c r="M65" s="141"/>
      <c r="N65" s="141"/>
      <c r="O65" s="141"/>
      <c r="P65" s="141"/>
      <c r="Q65" s="141"/>
      <c r="R65" s="141"/>
      <c r="S65" s="141"/>
    </row>
    <row r="66" spans="1:19">
      <c r="A66" s="141"/>
      <c r="B66" s="142"/>
      <c r="C66" s="142"/>
      <c r="D66" s="142"/>
      <c r="E66" s="142"/>
      <c r="F66" s="142"/>
      <c r="G66" s="142"/>
      <c r="H66" s="142"/>
      <c r="I66" s="142"/>
      <c r="J66" s="141"/>
      <c r="K66" s="141"/>
      <c r="L66" s="141"/>
      <c r="M66" s="141"/>
      <c r="N66" s="141"/>
      <c r="O66" s="141"/>
      <c r="P66" s="141"/>
      <c r="Q66" s="141"/>
      <c r="R66" s="141"/>
      <c r="S66" s="141"/>
    </row>
    <row r="67" spans="1:19">
      <c r="A67" s="141"/>
      <c r="B67" s="142"/>
      <c r="C67" s="142"/>
      <c r="D67" s="142"/>
      <c r="E67" s="142"/>
      <c r="F67" s="142"/>
      <c r="G67" s="142"/>
      <c r="H67" s="142"/>
      <c r="I67" s="142"/>
      <c r="J67" s="141"/>
      <c r="K67" s="141"/>
      <c r="L67" s="141"/>
      <c r="M67" s="141"/>
      <c r="N67" s="141"/>
      <c r="O67" s="141"/>
      <c r="P67" s="141"/>
      <c r="Q67" s="141"/>
      <c r="R67" s="141"/>
      <c r="S67" s="141"/>
    </row>
    <row r="68" spans="1:19">
      <c r="A68" s="141"/>
      <c r="B68" s="142"/>
      <c r="C68" s="142"/>
      <c r="D68" s="142"/>
      <c r="E68" s="142"/>
      <c r="F68" s="142"/>
      <c r="G68" s="142"/>
      <c r="H68" s="142"/>
      <c r="I68" s="142"/>
      <c r="J68" s="141"/>
      <c r="K68" s="141"/>
      <c r="L68" s="141"/>
      <c r="M68" s="141"/>
      <c r="N68" s="141"/>
      <c r="O68" s="141"/>
      <c r="P68" s="141"/>
      <c r="Q68" s="141"/>
      <c r="R68" s="141"/>
      <c r="S68" s="141"/>
    </row>
    <row r="69" spans="1:19">
      <c r="A69" s="141"/>
      <c r="B69" s="142"/>
      <c r="C69" s="142"/>
      <c r="D69" s="142"/>
      <c r="E69" s="142"/>
      <c r="F69" s="142"/>
      <c r="G69" s="142"/>
      <c r="H69" s="142"/>
      <c r="I69" s="142"/>
      <c r="J69" s="141"/>
      <c r="K69" s="141"/>
      <c r="L69" s="141"/>
      <c r="M69" s="141"/>
      <c r="N69" s="141"/>
      <c r="O69" s="141"/>
      <c r="P69" s="141"/>
      <c r="Q69" s="141"/>
      <c r="R69" s="141"/>
      <c r="S69" s="141"/>
    </row>
    <row r="70" spans="1:19">
      <c r="A70" s="141"/>
      <c r="B70" s="142"/>
      <c r="C70" s="142"/>
      <c r="D70" s="142"/>
      <c r="E70" s="142"/>
      <c r="F70" s="142"/>
      <c r="G70" s="142"/>
      <c r="H70" s="142"/>
      <c r="I70" s="142"/>
      <c r="J70" s="141"/>
      <c r="K70" s="141"/>
      <c r="L70" s="141"/>
      <c r="M70" s="141"/>
      <c r="N70" s="141"/>
      <c r="O70" s="141"/>
      <c r="P70" s="141"/>
      <c r="Q70" s="141"/>
      <c r="R70" s="141"/>
      <c r="S70" s="141"/>
    </row>
    <row r="71" spans="1:19">
      <c r="A71" s="141"/>
      <c r="B71" s="142"/>
      <c r="C71" s="142"/>
      <c r="D71" s="142"/>
      <c r="E71" s="142"/>
      <c r="F71" s="142"/>
      <c r="G71" s="142"/>
      <c r="H71" s="142"/>
      <c r="I71" s="142"/>
      <c r="J71" s="141"/>
      <c r="K71" s="141"/>
      <c r="L71" s="141"/>
      <c r="M71" s="141"/>
      <c r="N71" s="141"/>
      <c r="O71" s="141"/>
      <c r="P71" s="141"/>
      <c r="Q71" s="141"/>
      <c r="R71" s="141"/>
      <c r="S71" s="141"/>
    </row>
    <row r="72" spans="1:19">
      <c r="A72" s="141"/>
      <c r="B72" s="142"/>
      <c r="C72" s="142"/>
      <c r="D72" s="142"/>
      <c r="E72" s="142"/>
      <c r="F72" s="142"/>
      <c r="G72" s="142"/>
      <c r="H72" s="142"/>
      <c r="I72" s="142"/>
      <c r="J72" s="141"/>
      <c r="K72" s="141"/>
      <c r="L72" s="141"/>
      <c r="M72" s="141"/>
      <c r="N72" s="141"/>
      <c r="O72" s="141"/>
      <c r="P72" s="141"/>
      <c r="Q72" s="141"/>
      <c r="R72" s="141"/>
      <c r="S72" s="141"/>
    </row>
    <row r="73" spans="1:19">
      <c r="A73" s="141"/>
      <c r="B73" s="142"/>
      <c r="C73" s="142"/>
      <c r="D73" s="142"/>
      <c r="E73" s="142"/>
      <c r="F73" s="142"/>
      <c r="G73" s="142"/>
      <c r="H73" s="142"/>
      <c r="I73" s="142"/>
      <c r="J73" s="141"/>
      <c r="K73" s="141"/>
      <c r="L73" s="141"/>
      <c r="M73" s="141"/>
      <c r="N73" s="141"/>
      <c r="O73" s="141"/>
      <c r="P73" s="141"/>
      <c r="Q73" s="141"/>
      <c r="R73" s="141"/>
      <c r="S73" s="141"/>
    </row>
    <row r="74" spans="1:19">
      <c r="A74" s="141"/>
      <c r="B74" s="142"/>
      <c r="C74" s="142"/>
      <c r="D74" s="142"/>
      <c r="E74" s="142"/>
      <c r="F74" s="142"/>
      <c r="G74" s="142"/>
      <c r="H74" s="142"/>
      <c r="I74" s="142"/>
      <c r="J74" s="141"/>
      <c r="K74" s="141"/>
      <c r="L74" s="141"/>
      <c r="M74" s="141"/>
      <c r="N74" s="141"/>
      <c r="O74" s="141"/>
      <c r="P74" s="141"/>
      <c r="Q74" s="141"/>
      <c r="R74" s="141"/>
      <c r="S74" s="141"/>
    </row>
    <row r="75" spans="1:19">
      <c r="A75" s="141"/>
      <c r="B75" s="142"/>
      <c r="C75" s="142"/>
      <c r="D75" s="142"/>
      <c r="E75" s="142"/>
      <c r="F75" s="142"/>
      <c r="G75" s="142"/>
      <c r="H75" s="142"/>
      <c r="I75" s="142"/>
      <c r="J75" s="141"/>
      <c r="K75" s="141"/>
      <c r="L75" s="141"/>
      <c r="M75" s="141"/>
      <c r="N75" s="141"/>
      <c r="O75" s="141"/>
      <c r="P75" s="141"/>
      <c r="Q75" s="141"/>
      <c r="R75" s="141"/>
      <c r="S75" s="141"/>
    </row>
    <row r="76" spans="1:19">
      <c r="A76" s="141"/>
      <c r="B76" s="142"/>
      <c r="C76" s="142"/>
      <c r="D76" s="142"/>
      <c r="E76" s="142"/>
      <c r="F76" s="142"/>
      <c r="G76" s="142"/>
      <c r="H76" s="142"/>
      <c r="I76" s="142"/>
      <c r="J76" s="141"/>
      <c r="K76" s="141"/>
      <c r="L76" s="141"/>
      <c r="M76" s="141"/>
      <c r="N76" s="141"/>
      <c r="O76" s="141"/>
      <c r="P76" s="141"/>
      <c r="Q76" s="141"/>
      <c r="R76" s="141"/>
      <c r="S76" s="141"/>
    </row>
    <row r="77" spans="1:19">
      <c r="A77" s="141"/>
      <c r="B77" s="142"/>
      <c r="C77" s="142"/>
      <c r="D77" s="142"/>
      <c r="E77" s="142"/>
      <c r="F77" s="142"/>
      <c r="G77" s="142"/>
      <c r="H77" s="142"/>
      <c r="I77" s="142"/>
      <c r="J77" s="141"/>
      <c r="K77" s="141"/>
      <c r="L77" s="141"/>
      <c r="M77" s="141"/>
      <c r="N77" s="141"/>
      <c r="O77" s="141"/>
      <c r="P77" s="141"/>
      <c r="Q77" s="141"/>
      <c r="R77" s="141"/>
      <c r="S77" s="141"/>
    </row>
    <row r="78" spans="1:19">
      <c r="A78" s="141"/>
      <c r="B78" s="142"/>
      <c r="C78" s="142"/>
      <c r="D78" s="142"/>
      <c r="E78" s="142"/>
      <c r="F78" s="142"/>
      <c r="G78" s="142"/>
      <c r="H78" s="142"/>
      <c r="I78" s="142"/>
      <c r="J78" s="141"/>
      <c r="K78" s="141"/>
      <c r="L78" s="141"/>
      <c r="M78" s="141"/>
      <c r="N78" s="141"/>
      <c r="O78" s="141"/>
      <c r="P78" s="141"/>
      <c r="Q78" s="141"/>
      <c r="R78" s="141"/>
      <c r="S78" s="141"/>
    </row>
    <row r="79" spans="1:19">
      <c r="A79" s="141"/>
      <c r="B79" s="142"/>
      <c r="C79" s="142"/>
      <c r="D79" s="142"/>
      <c r="E79" s="142"/>
      <c r="F79" s="142"/>
      <c r="G79" s="142"/>
      <c r="H79" s="142"/>
      <c r="I79" s="142"/>
      <c r="J79" s="141"/>
      <c r="K79" s="141"/>
      <c r="L79" s="141"/>
      <c r="M79" s="141"/>
      <c r="N79" s="141"/>
      <c r="O79" s="141"/>
      <c r="P79" s="141"/>
      <c r="Q79" s="141"/>
      <c r="R79" s="141"/>
      <c r="S79" s="141"/>
    </row>
    <row r="80" spans="1:19">
      <c r="A80" s="141"/>
      <c r="B80" s="142"/>
      <c r="C80" s="142"/>
      <c r="D80" s="142"/>
      <c r="E80" s="142"/>
      <c r="F80" s="142"/>
      <c r="G80" s="142"/>
      <c r="H80" s="142"/>
      <c r="I80" s="142"/>
      <c r="J80" s="141"/>
      <c r="K80" s="141"/>
      <c r="L80" s="141"/>
      <c r="M80" s="141"/>
      <c r="N80" s="141"/>
      <c r="O80" s="141"/>
      <c r="P80" s="141"/>
      <c r="Q80" s="141"/>
      <c r="R80" s="141"/>
      <c r="S80" s="141"/>
    </row>
    <row r="81" spans="1:19">
      <c r="A81" s="141"/>
      <c r="B81" s="142"/>
      <c r="C81" s="142"/>
      <c r="D81" s="142"/>
      <c r="E81" s="142"/>
      <c r="F81" s="142"/>
      <c r="G81" s="142"/>
      <c r="H81" s="142"/>
      <c r="I81" s="142"/>
      <c r="J81" s="141"/>
      <c r="K81" s="141"/>
      <c r="L81" s="141"/>
      <c r="M81" s="141"/>
      <c r="N81" s="141"/>
      <c r="O81" s="141"/>
      <c r="P81" s="141"/>
      <c r="Q81" s="141"/>
      <c r="R81" s="141"/>
      <c r="S81" s="141"/>
    </row>
    <row r="82" spans="1:19">
      <c r="A82" s="141"/>
      <c r="B82" s="142"/>
      <c r="C82" s="142"/>
      <c r="D82" s="142"/>
      <c r="E82" s="142"/>
      <c r="F82" s="142"/>
      <c r="G82" s="142"/>
      <c r="H82" s="142"/>
      <c r="I82" s="142"/>
      <c r="J82" s="141"/>
      <c r="K82" s="141"/>
      <c r="L82" s="141"/>
      <c r="M82" s="141"/>
      <c r="N82" s="141"/>
      <c r="O82" s="141"/>
      <c r="P82" s="141"/>
      <c r="Q82" s="141"/>
      <c r="R82" s="141"/>
      <c r="S82" s="141"/>
    </row>
    <row r="83" spans="1:19">
      <c r="A83" s="141"/>
      <c r="B83" s="142"/>
      <c r="C83" s="142"/>
      <c r="D83" s="142"/>
      <c r="E83" s="142"/>
      <c r="F83" s="142"/>
      <c r="G83" s="142"/>
      <c r="H83" s="142"/>
      <c r="I83" s="142"/>
      <c r="J83" s="141"/>
      <c r="K83" s="141"/>
      <c r="L83" s="141"/>
      <c r="M83" s="141"/>
      <c r="N83" s="141"/>
      <c r="O83" s="141"/>
      <c r="P83" s="141"/>
      <c r="Q83" s="141"/>
      <c r="R83" s="141"/>
      <c r="S83" s="141"/>
    </row>
    <row r="84" spans="1:19">
      <c r="A84" s="141"/>
      <c r="B84" s="142"/>
      <c r="C84" s="142"/>
      <c r="D84" s="142"/>
      <c r="E84" s="142"/>
      <c r="F84" s="142"/>
      <c r="G84" s="142"/>
      <c r="H84" s="142"/>
      <c r="I84" s="142"/>
      <c r="J84" s="141"/>
      <c r="K84" s="141"/>
      <c r="L84" s="141"/>
      <c r="M84" s="141"/>
      <c r="N84" s="141"/>
      <c r="O84" s="141"/>
      <c r="P84" s="141"/>
      <c r="Q84" s="141"/>
      <c r="R84" s="141"/>
      <c r="S84" s="141"/>
    </row>
    <row r="85" spans="1:19">
      <c r="A85" s="141"/>
      <c r="B85" s="142"/>
      <c r="C85" s="142"/>
      <c r="D85" s="142"/>
      <c r="E85" s="142"/>
      <c r="F85" s="142"/>
      <c r="G85" s="142"/>
      <c r="H85" s="142"/>
      <c r="I85" s="142"/>
      <c r="J85" s="141"/>
      <c r="K85" s="141"/>
      <c r="L85" s="141"/>
      <c r="M85" s="141"/>
      <c r="N85" s="141"/>
      <c r="O85" s="141"/>
      <c r="P85" s="141"/>
      <c r="Q85" s="141"/>
      <c r="R85" s="141"/>
      <c r="S85" s="141"/>
    </row>
    <row r="86" spans="1:19">
      <c r="A86" s="141"/>
      <c r="B86" s="142"/>
      <c r="C86" s="142"/>
      <c r="D86" s="142"/>
      <c r="E86" s="142"/>
      <c r="F86" s="142"/>
      <c r="G86" s="142"/>
      <c r="H86" s="142"/>
      <c r="I86" s="142"/>
      <c r="J86" s="141"/>
      <c r="K86" s="141"/>
      <c r="L86" s="141"/>
      <c r="M86" s="141"/>
      <c r="N86" s="141"/>
      <c r="O86" s="141"/>
      <c r="P86" s="141"/>
      <c r="Q86" s="141"/>
      <c r="R86" s="141"/>
      <c r="S86" s="141"/>
    </row>
    <row r="87" spans="1:19">
      <c r="A87" s="141"/>
      <c r="B87" s="142"/>
      <c r="C87" s="142"/>
      <c r="D87" s="142"/>
      <c r="E87" s="142"/>
      <c r="F87" s="142"/>
      <c r="G87" s="142"/>
      <c r="H87" s="142"/>
      <c r="I87" s="142"/>
      <c r="J87" s="141"/>
      <c r="K87" s="141"/>
      <c r="L87" s="141"/>
      <c r="M87" s="141"/>
      <c r="N87" s="141"/>
      <c r="O87" s="141"/>
      <c r="P87" s="141"/>
      <c r="Q87" s="141"/>
      <c r="R87" s="141"/>
      <c r="S87" s="141"/>
    </row>
    <row r="88" spans="1:19">
      <c r="A88" s="141"/>
      <c r="B88" s="142"/>
      <c r="C88" s="142"/>
      <c r="D88" s="142"/>
      <c r="E88" s="142"/>
      <c r="F88" s="142"/>
      <c r="G88" s="142"/>
      <c r="H88" s="142"/>
      <c r="I88" s="142"/>
      <c r="J88" s="141"/>
      <c r="K88" s="141"/>
      <c r="L88" s="141"/>
      <c r="M88" s="141"/>
      <c r="N88" s="141"/>
      <c r="O88" s="141"/>
      <c r="P88" s="141"/>
      <c r="Q88" s="141"/>
      <c r="R88" s="141"/>
      <c r="S88" s="141"/>
    </row>
    <row r="89" spans="1:19">
      <c r="A89" s="141"/>
      <c r="B89" s="142"/>
      <c r="C89" s="142"/>
      <c r="D89" s="142"/>
      <c r="E89" s="142"/>
      <c r="F89" s="142"/>
      <c r="G89" s="142"/>
      <c r="H89" s="142"/>
      <c r="I89" s="142"/>
      <c r="J89" s="141"/>
      <c r="K89" s="141"/>
      <c r="L89" s="141"/>
      <c r="M89" s="141"/>
      <c r="N89" s="141"/>
      <c r="O89" s="141"/>
      <c r="P89" s="141"/>
      <c r="Q89" s="141"/>
      <c r="R89" s="141"/>
      <c r="S89" s="141"/>
    </row>
    <row r="90" spans="1:19">
      <c r="A90" s="141"/>
      <c r="B90" s="142"/>
      <c r="C90" s="142"/>
      <c r="D90" s="142"/>
      <c r="E90" s="142"/>
      <c r="F90" s="142"/>
      <c r="G90" s="142"/>
      <c r="H90" s="142"/>
      <c r="I90" s="142"/>
      <c r="J90" s="141"/>
      <c r="K90" s="141"/>
      <c r="L90" s="141"/>
      <c r="M90" s="141"/>
      <c r="N90" s="141"/>
      <c r="O90" s="141"/>
      <c r="P90" s="141"/>
      <c r="Q90" s="141"/>
      <c r="R90" s="141"/>
      <c r="S90" s="141"/>
    </row>
    <row r="91" spans="1:19">
      <c r="A91" s="141"/>
      <c r="B91" s="142"/>
      <c r="C91" s="142"/>
      <c r="D91" s="142"/>
      <c r="E91" s="142"/>
      <c r="F91" s="142"/>
      <c r="G91" s="142"/>
      <c r="H91" s="142"/>
      <c r="I91" s="142"/>
      <c r="J91" s="141"/>
      <c r="K91" s="141"/>
      <c r="L91" s="141"/>
      <c r="M91" s="141"/>
      <c r="N91" s="141"/>
      <c r="O91" s="141"/>
      <c r="P91" s="141"/>
      <c r="Q91" s="141"/>
      <c r="R91" s="141"/>
      <c r="S91" s="141"/>
    </row>
    <row r="92" spans="1:19">
      <c r="A92" s="141"/>
      <c r="B92" s="142"/>
      <c r="C92" s="142"/>
      <c r="D92" s="142"/>
      <c r="E92" s="142"/>
      <c r="F92" s="142"/>
      <c r="G92" s="142"/>
      <c r="H92" s="142"/>
      <c r="I92" s="142"/>
      <c r="J92" s="141"/>
      <c r="K92" s="141"/>
      <c r="L92" s="141"/>
      <c r="M92" s="141"/>
      <c r="N92" s="141"/>
      <c r="O92" s="141"/>
      <c r="P92" s="141"/>
      <c r="Q92" s="141"/>
      <c r="R92" s="141"/>
      <c r="S92" s="141"/>
    </row>
    <row r="93" spans="1:19">
      <c r="A93" s="141"/>
      <c r="B93" s="142"/>
      <c r="C93" s="142"/>
      <c r="D93" s="142"/>
      <c r="E93" s="142"/>
      <c r="F93" s="142"/>
      <c r="G93" s="142"/>
      <c r="H93" s="142"/>
      <c r="I93" s="142"/>
      <c r="J93" s="141"/>
      <c r="K93" s="141"/>
      <c r="L93" s="141"/>
      <c r="M93" s="141"/>
      <c r="N93" s="141"/>
      <c r="O93" s="141"/>
      <c r="P93" s="141"/>
      <c r="Q93" s="141"/>
      <c r="R93" s="141"/>
      <c r="S93" s="141"/>
    </row>
    <row r="94" spans="1:19">
      <c r="A94" s="141"/>
      <c r="B94" s="142"/>
      <c r="C94" s="142"/>
      <c r="D94" s="142"/>
      <c r="E94" s="142"/>
      <c r="F94" s="142"/>
      <c r="G94" s="142"/>
      <c r="H94" s="142"/>
      <c r="I94" s="142"/>
      <c r="J94" s="141"/>
      <c r="K94" s="141"/>
      <c r="L94" s="141"/>
      <c r="M94" s="141"/>
      <c r="N94" s="141"/>
      <c r="O94" s="141"/>
      <c r="P94" s="141"/>
      <c r="Q94" s="141"/>
      <c r="R94" s="141"/>
      <c r="S94" s="141"/>
    </row>
    <row r="95" spans="1:19">
      <c r="A95" s="141"/>
      <c r="B95" s="142"/>
      <c r="C95" s="142"/>
      <c r="D95" s="142"/>
      <c r="E95" s="142"/>
      <c r="F95" s="142"/>
      <c r="G95" s="142"/>
      <c r="H95" s="142"/>
      <c r="I95" s="142"/>
      <c r="J95" s="141"/>
      <c r="K95" s="141"/>
      <c r="L95" s="141"/>
      <c r="M95" s="141"/>
      <c r="N95" s="141"/>
      <c r="O95" s="141"/>
      <c r="P95" s="141"/>
      <c r="Q95" s="141"/>
      <c r="R95" s="141"/>
      <c r="S95" s="141"/>
    </row>
    <row r="96" spans="1:19">
      <c r="A96" s="141"/>
      <c r="B96" s="142"/>
      <c r="C96" s="142"/>
      <c r="D96" s="142"/>
      <c r="E96" s="142"/>
      <c r="F96" s="142"/>
      <c r="G96" s="142"/>
      <c r="H96" s="142"/>
      <c r="I96" s="142"/>
      <c r="J96" s="141"/>
      <c r="K96" s="141"/>
      <c r="L96" s="141"/>
      <c r="M96" s="141"/>
      <c r="N96" s="141"/>
      <c r="O96" s="141"/>
      <c r="P96" s="141"/>
      <c r="Q96" s="141"/>
      <c r="R96" s="141"/>
      <c r="S96" s="141"/>
    </row>
    <row r="97" spans="1:19">
      <c r="A97" s="141"/>
      <c r="B97" s="142"/>
      <c r="C97" s="142"/>
      <c r="D97" s="142"/>
      <c r="E97" s="142"/>
      <c r="F97" s="142"/>
      <c r="G97" s="142"/>
      <c r="H97" s="142"/>
      <c r="I97" s="142"/>
      <c r="J97" s="141"/>
      <c r="K97" s="141"/>
      <c r="L97" s="141"/>
      <c r="M97" s="141"/>
      <c r="N97" s="141"/>
      <c r="O97" s="141"/>
      <c r="P97" s="141"/>
      <c r="Q97" s="141"/>
      <c r="R97" s="141"/>
      <c r="S97" s="141"/>
    </row>
    <row r="98" spans="1:19">
      <c r="A98" s="141"/>
      <c r="B98" s="142"/>
      <c r="C98" s="142"/>
      <c r="D98" s="142"/>
      <c r="E98" s="142"/>
      <c r="F98" s="142"/>
      <c r="G98" s="142"/>
      <c r="H98" s="142"/>
      <c r="I98" s="142"/>
      <c r="J98" s="141"/>
      <c r="K98" s="141"/>
      <c r="L98" s="141"/>
      <c r="M98" s="141"/>
      <c r="N98" s="141"/>
      <c r="O98" s="141"/>
      <c r="P98" s="141"/>
      <c r="Q98" s="141"/>
      <c r="R98" s="141"/>
      <c r="S98" s="141"/>
    </row>
    <row r="99" spans="1:19">
      <c r="A99" s="141"/>
      <c r="B99" s="142"/>
      <c r="C99" s="142"/>
      <c r="D99" s="142"/>
      <c r="E99" s="142"/>
      <c r="F99" s="142"/>
      <c r="G99" s="142"/>
      <c r="H99" s="142"/>
      <c r="I99" s="142"/>
      <c r="J99" s="141"/>
      <c r="K99" s="141"/>
      <c r="L99" s="141"/>
      <c r="M99" s="141"/>
      <c r="N99" s="141"/>
      <c r="O99" s="141"/>
      <c r="P99" s="141"/>
      <c r="Q99" s="141"/>
      <c r="R99" s="141"/>
      <c r="S99" s="141"/>
    </row>
    <row r="100" spans="1:19">
      <c r="A100" s="141"/>
      <c r="B100" s="142"/>
      <c r="C100" s="142"/>
      <c r="D100" s="142"/>
      <c r="E100" s="142"/>
      <c r="F100" s="142"/>
      <c r="G100" s="142"/>
      <c r="H100" s="142"/>
      <c r="I100" s="142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</row>
    <row r="101" spans="1:19">
      <c r="A101" s="141"/>
      <c r="B101" s="142"/>
      <c r="C101" s="142"/>
      <c r="D101" s="142"/>
      <c r="E101" s="142"/>
      <c r="F101" s="142"/>
      <c r="G101" s="142"/>
      <c r="H101" s="142"/>
      <c r="I101" s="142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</row>
    <row r="102" spans="1:19">
      <c r="A102" s="141"/>
      <c r="B102" s="142"/>
      <c r="C102" s="142"/>
      <c r="D102" s="142"/>
      <c r="E102" s="142"/>
      <c r="F102" s="142"/>
      <c r="G102" s="142"/>
      <c r="H102" s="142"/>
      <c r="I102" s="142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</row>
    <row r="103" spans="1:19">
      <c r="A103" s="141"/>
      <c r="B103" s="142"/>
      <c r="C103" s="142"/>
      <c r="D103" s="142"/>
      <c r="E103" s="142"/>
      <c r="F103" s="142"/>
      <c r="G103" s="142"/>
      <c r="H103" s="142"/>
      <c r="I103" s="142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</row>
    <row r="104" spans="1:19">
      <c r="A104" s="141"/>
      <c r="B104" s="142"/>
      <c r="C104" s="142"/>
      <c r="D104" s="142"/>
      <c r="E104" s="142"/>
      <c r="F104" s="142"/>
      <c r="G104" s="142"/>
      <c r="H104" s="142"/>
      <c r="I104" s="142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</row>
    <row r="105" spans="1:19">
      <c r="A105" s="141"/>
      <c r="B105" s="142"/>
      <c r="C105" s="142"/>
      <c r="D105" s="142"/>
      <c r="E105" s="142"/>
      <c r="F105" s="142"/>
      <c r="G105" s="142"/>
      <c r="H105" s="142"/>
      <c r="I105" s="142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</row>
    <row r="106" spans="1:19">
      <c r="A106" s="141"/>
      <c r="B106" s="142"/>
      <c r="C106" s="142"/>
      <c r="D106" s="142"/>
      <c r="E106" s="142"/>
      <c r="F106" s="142"/>
      <c r="G106" s="142"/>
      <c r="H106" s="142"/>
      <c r="I106" s="142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</row>
    <row r="107" spans="1:19">
      <c r="A107" s="141"/>
      <c r="B107" s="142"/>
      <c r="C107" s="142"/>
      <c r="D107" s="142"/>
      <c r="E107" s="142"/>
      <c r="F107" s="142"/>
      <c r="G107" s="142"/>
      <c r="H107" s="142"/>
      <c r="I107" s="142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</row>
    <row r="108" spans="1:19">
      <c r="A108" s="141"/>
      <c r="B108" s="142"/>
      <c r="C108" s="142"/>
      <c r="D108" s="142"/>
      <c r="E108" s="142"/>
      <c r="F108" s="142"/>
      <c r="G108" s="142"/>
      <c r="H108" s="142"/>
      <c r="I108" s="142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</row>
    <row r="109" spans="1:19">
      <c r="A109" s="141"/>
      <c r="B109" s="142"/>
      <c r="C109" s="142"/>
      <c r="D109" s="142"/>
      <c r="E109" s="142"/>
      <c r="F109" s="142"/>
      <c r="G109" s="142"/>
      <c r="H109" s="142"/>
      <c r="I109" s="142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</row>
    <row r="110" spans="1:19">
      <c r="A110" s="141"/>
      <c r="B110" s="142"/>
      <c r="C110" s="142"/>
      <c r="D110" s="142"/>
      <c r="E110" s="142"/>
      <c r="F110" s="142"/>
      <c r="G110" s="142"/>
      <c r="H110" s="142"/>
      <c r="I110" s="142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</row>
    <row r="111" spans="1:19">
      <c r="A111" s="141"/>
      <c r="B111" s="142"/>
      <c r="C111" s="142"/>
      <c r="D111" s="142"/>
      <c r="E111" s="142"/>
      <c r="F111" s="142"/>
      <c r="G111" s="142"/>
      <c r="H111" s="142"/>
      <c r="I111" s="142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</row>
    <row r="112" spans="1:19">
      <c r="A112" s="141"/>
      <c r="B112" s="142"/>
      <c r="C112" s="142"/>
      <c r="D112" s="142"/>
      <c r="E112" s="142"/>
      <c r="F112" s="142"/>
      <c r="G112" s="142"/>
      <c r="H112" s="142"/>
      <c r="I112" s="142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</row>
    <row r="113" spans="1:19">
      <c r="A113" s="141"/>
      <c r="B113" s="142"/>
      <c r="C113" s="142"/>
      <c r="D113" s="142"/>
      <c r="E113" s="142"/>
      <c r="F113" s="142"/>
      <c r="G113" s="142"/>
      <c r="H113" s="142"/>
      <c r="I113" s="142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</row>
    <row r="114" spans="1:19">
      <c r="A114" s="141"/>
      <c r="B114" s="142"/>
      <c r="C114" s="142"/>
      <c r="D114" s="142"/>
      <c r="E114" s="142"/>
      <c r="F114" s="142"/>
      <c r="G114" s="142"/>
      <c r="H114" s="142"/>
      <c r="I114" s="142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</row>
    <row r="115" spans="1:19">
      <c r="A115" s="141"/>
      <c r="B115" s="142"/>
      <c r="C115" s="142"/>
      <c r="D115" s="142"/>
      <c r="E115" s="142"/>
      <c r="F115" s="142"/>
      <c r="G115" s="142"/>
      <c r="H115" s="142"/>
      <c r="I115" s="142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</row>
    <row r="116" spans="1:19">
      <c r="A116" s="141"/>
      <c r="B116" s="142"/>
      <c r="C116" s="142"/>
      <c r="D116" s="142"/>
      <c r="E116" s="142"/>
      <c r="F116" s="142"/>
      <c r="G116" s="142"/>
      <c r="H116" s="142"/>
      <c r="I116" s="142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</row>
    <row r="117" spans="1:19">
      <c r="A117" s="141"/>
      <c r="B117" s="142"/>
      <c r="C117" s="142"/>
      <c r="D117" s="142"/>
      <c r="E117" s="142"/>
      <c r="F117" s="142"/>
      <c r="G117" s="142"/>
      <c r="H117" s="142"/>
      <c r="I117" s="142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</row>
    <row r="118" spans="1:19">
      <c r="A118" s="141"/>
      <c r="B118" s="142"/>
      <c r="C118" s="142"/>
      <c r="D118" s="142"/>
      <c r="E118" s="142"/>
      <c r="F118" s="142"/>
      <c r="G118" s="142"/>
      <c r="H118" s="142"/>
      <c r="I118" s="142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</row>
    <row r="119" spans="1:19">
      <c r="A119" s="141"/>
      <c r="B119" s="142"/>
      <c r="C119" s="142"/>
      <c r="D119" s="142"/>
      <c r="E119" s="142"/>
      <c r="F119" s="142"/>
      <c r="G119" s="142"/>
      <c r="H119" s="142"/>
      <c r="I119" s="142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</row>
    <row r="120" spans="1:19">
      <c r="A120" s="141"/>
      <c r="B120" s="142"/>
      <c r="C120" s="142"/>
      <c r="D120" s="142"/>
      <c r="E120" s="142"/>
      <c r="F120" s="142"/>
      <c r="G120" s="142"/>
      <c r="H120" s="142"/>
      <c r="I120" s="142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</row>
    <row r="121" spans="1:19">
      <c r="A121" s="141"/>
      <c r="B121" s="142"/>
      <c r="C121" s="142"/>
      <c r="D121" s="142"/>
      <c r="E121" s="142"/>
      <c r="F121" s="142"/>
      <c r="G121" s="142"/>
      <c r="H121" s="142"/>
      <c r="I121" s="142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</row>
    <row r="122" spans="1:19">
      <c r="A122" s="141"/>
      <c r="B122" s="142"/>
      <c r="C122" s="142"/>
      <c r="D122" s="142"/>
      <c r="E122" s="142"/>
      <c r="F122" s="142"/>
      <c r="G122" s="142"/>
      <c r="H122" s="142"/>
      <c r="I122" s="142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</row>
    <row r="123" spans="1:19">
      <c r="A123" s="141"/>
      <c r="B123" s="142"/>
      <c r="C123" s="142"/>
      <c r="D123" s="142"/>
      <c r="E123" s="142"/>
      <c r="F123" s="142"/>
      <c r="G123" s="142"/>
      <c r="H123" s="142"/>
      <c r="I123" s="142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</row>
    <row r="124" spans="1:19">
      <c r="A124" s="141"/>
      <c r="B124" s="142"/>
      <c r="C124" s="142"/>
      <c r="D124" s="142"/>
      <c r="E124" s="142"/>
      <c r="F124" s="142"/>
      <c r="G124" s="142"/>
      <c r="H124" s="142"/>
      <c r="I124" s="142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</row>
    <row r="125" spans="1:19">
      <c r="A125" s="141"/>
      <c r="B125" s="142"/>
      <c r="C125" s="142"/>
      <c r="D125" s="142"/>
      <c r="E125" s="142"/>
      <c r="F125" s="142"/>
      <c r="G125" s="142"/>
      <c r="H125" s="142"/>
      <c r="I125" s="142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</row>
    <row r="126" spans="1:19">
      <c r="A126" s="141"/>
      <c r="B126" s="142"/>
      <c r="C126" s="142"/>
      <c r="D126" s="142"/>
      <c r="E126" s="142"/>
      <c r="F126" s="142"/>
      <c r="G126" s="142"/>
      <c r="H126" s="142"/>
      <c r="I126" s="142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</row>
    <row r="127" spans="1:19">
      <c r="A127" s="141"/>
      <c r="B127" s="142"/>
      <c r="C127" s="142"/>
      <c r="D127" s="142"/>
      <c r="E127" s="142"/>
      <c r="F127" s="142"/>
      <c r="G127" s="142"/>
      <c r="H127" s="142"/>
      <c r="I127" s="142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</row>
    <row r="128" spans="1:19">
      <c r="A128" s="141"/>
      <c r="B128" s="142"/>
      <c r="C128" s="142"/>
      <c r="D128" s="142"/>
      <c r="E128" s="142"/>
      <c r="F128" s="142"/>
      <c r="G128" s="142"/>
      <c r="H128" s="142"/>
      <c r="I128" s="142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</row>
    <row r="129" spans="1:19">
      <c r="A129" s="141"/>
      <c r="B129" s="142"/>
      <c r="C129" s="142"/>
      <c r="D129" s="142"/>
      <c r="E129" s="142"/>
      <c r="F129" s="142"/>
      <c r="G129" s="142"/>
      <c r="H129" s="142"/>
      <c r="I129" s="142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</row>
    <row r="130" spans="1:19">
      <c r="A130" s="141"/>
      <c r="B130" s="142"/>
      <c r="C130" s="142"/>
      <c r="D130" s="142"/>
      <c r="E130" s="142"/>
      <c r="F130" s="142"/>
      <c r="G130" s="142"/>
      <c r="H130" s="142"/>
      <c r="I130" s="142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</row>
    <row r="131" spans="1:19">
      <c r="A131" s="141"/>
      <c r="B131" s="142"/>
      <c r="C131" s="142"/>
      <c r="D131" s="142"/>
      <c r="E131" s="142"/>
      <c r="F131" s="142"/>
      <c r="G131" s="142"/>
      <c r="H131" s="142"/>
      <c r="I131" s="142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</row>
    <row r="132" spans="1:19">
      <c r="A132" s="141"/>
      <c r="B132" s="142"/>
      <c r="C132" s="142"/>
      <c r="D132" s="142"/>
      <c r="E132" s="142"/>
      <c r="F132" s="142"/>
      <c r="G132" s="142"/>
      <c r="H132" s="142"/>
      <c r="I132" s="142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</row>
    <row r="133" spans="1:19">
      <c r="A133" s="141"/>
      <c r="B133" s="142"/>
      <c r="C133" s="142"/>
      <c r="D133" s="142"/>
      <c r="E133" s="142"/>
      <c r="F133" s="142"/>
      <c r="G133" s="142"/>
      <c r="H133" s="142"/>
      <c r="I133" s="142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</row>
    <row r="134" spans="1:19">
      <c r="A134" s="141"/>
      <c r="B134" s="142"/>
      <c r="C134" s="142"/>
      <c r="D134" s="142"/>
      <c r="E134" s="142"/>
      <c r="F134" s="142"/>
      <c r="G134" s="142"/>
      <c r="H134" s="142"/>
      <c r="I134" s="142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</row>
    <row r="135" spans="1:19">
      <c r="A135" s="141"/>
      <c r="B135" s="142"/>
      <c r="C135" s="142"/>
      <c r="D135" s="142"/>
      <c r="E135" s="142"/>
      <c r="F135" s="142"/>
      <c r="G135" s="142"/>
      <c r="H135" s="142"/>
      <c r="I135" s="142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</row>
    <row r="136" spans="1:19">
      <c r="A136" s="141"/>
      <c r="B136" s="142"/>
      <c r="C136" s="142"/>
      <c r="D136" s="142"/>
      <c r="E136" s="142"/>
      <c r="F136" s="142"/>
      <c r="G136" s="142"/>
      <c r="H136" s="142"/>
      <c r="I136" s="142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</row>
    <row r="137" spans="1:19">
      <c r="A137" s="141"/>
      <c r="B137" s="142"/>
      <c r="C137" s="142"/>
      <c r="D137" s="142"/>
      <c r="E137" s="142"/>
      <c r="F137" s="142"/>
      <c r="G137" s="142"/>
      <c r="H137" s="142"/>
      <c r="I137" s="142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</row>
    <row r="138" spans="1:19">
      <c r="A138" s="141"/>
      <c r="B138" s="142"/>
      <c r="C138" s="142"/>
      <c r="D138" s="142"/>
      <c r="E138" s="142"/>
      <c r="F138" s="142"/>
      <c r="G138" s="142"/>
      <c r="H138" s="142"/>
      <c r="I138" s="142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</row>
    <row r="139" spans="1:19">
      <c r="A139" s="141"/>
      <c r="B139" s="142"/>
      <c r="C139" s="142"/>
      <c r="D139" s="142"/>
      <c r="E139" s="142"/>
      <c r="F139" s="142"/>
      <c r="G139" s="142"/>
      <c r="H139" s="142"/>
      <c r="I139" s="142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</row>
    <row r="140" spans="1:19">
      <c r="A140" s="141"/>
      <c r="B140" s="142"/>
      <c r="C140" s="142"/>
      <c r="D140" s="142"/>
      <c r="E140" s="142"/>
      <c r="F140" s="142"/>
      <c r="G140" s="142"/>
      <c r="H140" s="142"/>
      <c r="I140" s="142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</row>
    <row r="141" spans="1:19">
      <c r="A141" s="141"/>
      <c r="B141" s="142"/>
      <c r="C141" s="142"/>
      <c r="D141" s="142"/>
      <c r="E141" s="142"/>
      <c r="F141" s="142"/>
      <c r="G141" s="142"/>
      <c r="H141" s="142"/>
      <c r="I141" s="142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</row>
    <row r="142" spans="1:19">
      <c r="A142" s="141"/>
      <c r="B142" s="142"/>
      <c r="C142" s="142"/>
      <c r="D142" s="142"/>
      <c r="E142" s="142"/>
      <c r="F142" s="142"/>
      <c r="G142" s="142"/>
      <c r="H142" s="142"/>
      <c r="I142" s="142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</row>
    <row r="143" spans="1:19">
      <c r="A143" s="141"/>
      <c r="B143" s="142"/>
      <c r="C143" s="142"/>
      <c r="D143" s="142"/>
      <c r="E143" s="142"/>
      <c r="F143" s="142"/>
      <c r="G143" s="142"/>
      <c r="H143" s="142"/>
      <c r="I143" s="142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</row>
    <row r="144" spans="1:19">
      <c r="A144" s="141"/>
      <c r="B144" s="142"/>
      <c r="C144" s="142"/>
      <c r="D144" s="142"/>
      <c r="E144" s="142"/>
      <c r="F144" s="142"/>
      <c r="G144" s="142"/>
      <c r="H144" s="142"/>
      <c r="I144" s="142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</row>
    <row r="145" spans="1:19">
      <c r="A145" s="141"/>
      <c r="B145" s="142"/>
      <c r="C145" s="142"/>
      <c r="D145" s="142"/>
      <c r="E145" s="142"/>
      <c r="F145" s="142"/>
      <c r="G145" s="142"/>
      <c r="H145" s="142"/>
      <c r="I145" s="142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</row>
    <row r="146" spans="1:19">
      <c r="A146" s="141"/>
      <c r="B146" s="142"/>
      <c r="C146" s="142"/>
      <c r="D146" s="142"/>
      <c r="E146" s="142"/>
      <c r="F146" s="142"/>
      <c r="G146" s="142"/>
      <c r="H146" s="142"/>
      <c r="I146" s="142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</row>
    <row r="147" spans="1:19">
      <c r="A147" s="141"/>
      <c r="B147" s="142"/>
      <c r="C147" s="142"/>
      <c r="D147" s="142"/>
      <c r="E147" s="142"/>
      <c r="F147" s="142"/>
      <c r="G147" s="142"/>
      <c r="H147" s="142"/>
      <c r="I147" s="142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</row>
    <row r="148" spans="1:19">
      <c r="A148" s="141"/>
      <c r="B148" s="142"/>
      <c r="C148" s="142"/>
      <c r="D148" s="142"/>
      <c r="E148" s="142"/>
      <c r="F148" s="142"/>
      <c r="G148" s="142"/>
      <c r="H148" s="142"/>
      <c r="I148" s="142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</row>
    <row r="149" spans="1:19">
      <c r="A149" s="141"/>
      <c r="B149" s="142"/>
      <c r="C149" s="142"/>
      <c r="D149" s="142"/>
      <c r="E149" s="142"/>
      <c r="F149" s="142"/>
      <c r="G149" s="142"/>
      <c r="H149" s="142"/>
      <c r="I149" s="142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</row>
    <row r="150" spans="1:19">
      <c r="A150" s="141"/>
      <c r="B150" s="142"/>
      <c r="C150" s="142"/>
      <c r="D150" s="142"/>
      <c r="E150" s="142"/>
      <c r="F150" s="142"/>
      <c r="G150" s="142"/>
      <c r="H150" s="142"/>
      <c r="I150" s="142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</row>
    <row r="151" spans="1:19">
      <c r="A151" s="141"/>
      <c r="B151" s="142"/>
      <c r="C151" s="142"/>
      <c r="D151" s="142"/>
      <c r="E151" s="142"/>
      <c r="F151" s="142"/>
      <c r="G151" s="142"/>
      <c r="H151" s="142"/>
      <c r="I151" s="142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</row>
    <row r="152" spans="1:19">
      <c r="A152" s="141"/>
      <c r="B152" s="142"/>
      <c r="C152" s="142"/>
      <c r="D152" s="142"/>
      <c r="E152" s="142"/>
      <c r="F152" s="142"/>
      <c r="G152" s="142"/>
      <c r="H152" s="142"/>
      <c r="I152" s="142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</row>
    <row r="153" spans="1:19">
      <c r="A153" s="141"/>
      <c r="B153" s="142"/>
      <c r="C153" s="142"/>
      <c r="D153" s="142"/>
      <c r="E153" s="142"/>
      <c r="F153" s="142"/>
      <c r="G153" s="142"/>
      <c r="H153" s="142"/>
      <c r="I153" s="142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</row>
    <row r="154" spans="1:19">
      <c r="A154" s="141"/>
      <c r="B154" s="142"/>
      <c r="C154" s="142"/>
      <c r="D154" s="142"/>
      <c r="E154" s="142"/>
      <c r="F154" s="142"/>
      <c r="G154" s="142"/>
      <c r="H154" s="142"/>
      <c r="I154" s="142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</row>
    <row r="155" spans="1:19">
      <c r="A155" s="141"/>
      <c r="B155" s="142"/>
      <c r="C155" s="142"/>
      <c r="D155" s="142"/>
      <c r="E155" s="142"/>
      <c r="F155" s="142"/>
      <c r="G155" s="142"/>
      <c r="H155" s="142"/>
      <c r="I155" s="142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</row>
    <row r="156" spans="1:19">
      <c r="A156" s="141"/>
      <c r="B156" s="142"/>
      <c r="C156" s="142"/>
      <c r="D156" s="142"/>
      <c r="E156" s="142"/>
      <c r="F156" s="142"/>
      <c r="G156" s="142"/>
      <c r="H156" s="142"/>
      <c r="I156" s="142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</row>
    <row r="157" spans="1:19">
      <c r="A157" s="141"/>
      <c r="B157" s="142"/>
      <c r="C157" s="142"/>
      <c r="D157" s="142"/>
      <c r="E157" s="142"/>
      <c r="F157" s="142"/>
      <c r="G157" s="142"/>
      <c r="H157" s="142"/>
      <c r="I157" s="142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</row>
    <row r="158" spans="1:19">
      <c r="A158" s="141"/>
      <c r="B158" s="142"/>
      <c r="C158" s="142"/>
      <c r="D158" s="142"/>
      <c r="E158" s="142"/>
      <c r="F158" s="142"/>
      <c r="G158" s="142"/>
      <c r="H158" s="142"/>
      <c r="I158" s="142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</row>
    <row r="159" spans="1:19">
      <c r="A159" s="141"/>
      <c r="B159" s="142"/>
      <c r="C159" s="142"/>
      <c r="D159" s="142"/>
      <c r="E159" s="142"/>
      <c r="F159" s="142"/>
      <c r="G159" s="142"/>
      <c r="H159" s="142"/>
      <c r="I159" s="142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</row>
    <row r="160" spans="1:19">
      <c r="A160" s="141"/>
      <c r="B160" s="142"/>
      <c r="C160" s="142"/>
      <c r="D160" s="142"/>
      <c r="E160" s="142"/>
      <c r="F160" s="142"/>
      <c r="G160" s="142"/>
      <c r="H160" s="142"/>
      <c r="I160" s="142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</row>
    <row r="161" spans="1:19">
      <c r="A161" s="141"/>
      <c r="B161" s="142"/>
      <c r="C161" s="142"/>
      <c r="D161" s="142"/>
      <c r="E161" s="142"/>
      <c r="F161" s="142"/>
      <c r="G161" s="142"/>
      <c r="H161" s="142"/>
      <c r="I161" s="142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</row>
    <row r="162" spans="1:19">
      <c r="A162" s="141"/>
      <c r="B162" s="142"/>
      <c r="C162" s="142"/>
      <c r="D162" s="142"/>
      <c r="E162" s="142"/>
      <c r="F162" s="142"/>
      <c r="G162" s="142"/>
      <c r="H162" s="142"/>
      <c r="I162" s="142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</row>
    <row r="163" spans="1:19">
      <c r="A163" s="141"/>
      <c r="B163" s="142"/>
      <c r="C163" s="142"/>
      <c r="D163" s="142"/>
      <c r="E163" s="142"/>
      <c r="F163" s="142"/>
      <c r="G163" s="142"/>
      <c r="H163" s="142"/>
      <c r="I163" s="142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</row>
    <row r="164" spans="1:19">
      <c r="A164" s="141"/>
      <c r="B164" s="142"/>
      <c r="C164" s="142"/>
      <c r="D164" s="142"/>
      <c r="E164" s="142"/>
      <c r="F164" s="142"/>
      <c r="G164" s="142"/>
      <c r="H164" s="142"/>
      <c r="I164" s="142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</row>
    <row r="165" spans="1:19">
      <c r="A165" s="141"/>
      <c r="B165" s="142"/>
      <c r="C165" s="142"/>
      <c r="D165" s="142"/>
      <c r="E165" s="142"/>
      <c r="F165" s="142"/>
      <c r="G165" s="142"/>
      <c r="H165" s="142"/>
      <c r="I165" s="142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</row>
    <row r="166" spans="1:19">
      <c r="A166" s="141"/>
      <c r="B166" s="142"/>
      <c r="C166" s="142"/>
      <c r="D166" s="142"/>
      <c r="E166" s="142"/>
      <c r="F166" s="142"/>
      <c r="G166" s="142"/>
      <c r="H166" s="142"/>
      <c r="I166" s="142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</row>
    <row r="167" spans="1:19">
      <c r="A167" s="141"/>
      <c r="B167" s="142"/>
      <c r="C167" s="142"/>
      <c r="D167" s="142"/>
      <c r="E167" s="142"/>
      <c r="F167" s="142"/>
      <c r="G167" s="142"/>
      <c r="H167" s="142"/>
      <c r="I167" s="142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</row>
    <row r="168" spans="1:19">
      <c r="A168" s="141"/>
      <c r="B168" s="142"/>
      <c r="C168" s="142"/>
      <c r="D168" s="142"/>
      <c r="E168" s="142"/>
      <c r="F168" s="142"/>
      <c r="G168" s="142"/>
      <c r="H168" s="142"/>
      <c r="I168" s="142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</row>
    <row r="169" spans="1:19">
      <c r="A169" s="141"/>
      <c r="B169" s="142"/>
      <c r="C169" s="142"/>
      <c r="D169" s="142"/>
      <c r="E169" s="142"/>
      <c r="F169" s="142"/>
      <c r="G169" s="142"/>
      <c r="H169" s="142"/>
      <c r="I169" s="142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</row>
    <row r="170" spans="1:19">
      <c r="A170" s="141"/>
      <c r="B170" s="142"/>
      <c r="C170" s="142"/>
      <c r="D170" s="142"/>
      <c r="E170" s="142"/>
      <c r="F170" s="142"/>
      <c r="G170" s="142"/>
      <c r="H170" s="142"/>
      <c r="I170" s="142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</row>
    <row r="171" spans="1:19">
      <c r="A171" s="141"/>
      <c r="B171" s="142"/>
      <c r="C171" s="142"/>
      <c r="D171" s="142"/>
      <c r="E171" s="142"/>
      <c r="F171" s="142"/>
      <c r="G171" s="142"/>
      <c r="H171" s="142"/>
      <c r="I171" s="142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</row>
    <row r="172" spans="1:19">
      <c r="A172" s="141"/>
      <c r="B172" s="142"/>
      <c r="C172" s="142"/>
      <c r="D172" s="142"/>
      <c r="E172" s="142"/>
      <c r="F172" s="142"/>
      <c r="G172" s="142"/>
      <c r="H172" s="142"/>
      <c r="I172" s="142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</row>
    <row r="173" spans="1:19">
      <c r="A173" s="141"/>
      <c r="B173" s="142"/>
      <c r="C173" s="142"/>
      <c r="D173" s="142"/>
      <c r="E173" s="142"/>
      <c r="F173" s="142"/>
      <c r="G173" s="142"/>
      <c r="H173" s="142"/>
      <c r="I173" s="142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</row>
    <row r="174" spans="1:19">
      <c r="A174" s="141"/>
      <c r="B174" s="142"/>
      <c r="C174" s="142"/>
      <c r="D174" s="142"/>
      <c r="E174" s="142"/>
      <c r="F174" s="142"/>
      <c r="G174" s="142"/>
      <c r="H174" s="142"/>
      <c r="I174" s="142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</row>
  </sheetData>
  <protectedRanges>
    <protectedRange algorithmName="SHA-512" hashValue="Rqx17eZq0POUCEtjInE1owN/W9mICnnjAaFq4aspmksP1J1QEy/w+F7EcJNy7Ftb2uDcpt0ovVMOfJf+OpN4Og==" saltValue="Y5HUXtyBbPVT+4dOf3fESA==" spinCount="100000" sqref="E6 E7 E8 E9 E10 E11 E12 E14 E13 I14 I11 I8 I7 I6 M6 M7 M8 M12 M13" name="Plage1"/>
  </protectedRanges>
  <mergeCells count="15">
    <mergeCell ref="F14:H14"/>
    <mergeCell ref="B15:E15"/>
    <mergeCell ref="F15:I15"/>
    <mergeCell ref="F7:H7"/>
    <mergeCell ref="F8:H8"/>
    <mergeCell ref="F9:I10"/>
    <mergeCell ref="F11:H11"/>
    <mergeCell ref="L2:M2"/>
    <mergeCell ref="F12:I13"/>
    <mergeCell ref="B2:I2"/>
    <mergeCell ref="B3:I3"/>
    <mergeCell ref="B5:E5"/>
    <mergeCell ref="F5:I5"/>
    <mergeCell ref="F6:H6"/>
    <mergeCell ref="B4:I4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howErrorMessage="1" sqref="M6" xr:uid="{793E4DC1-379F-4195-B351-98C99B917DEA}">
      <formula1>INDIRECT("Tableau3[DESIGNATION]")</formula1>
    </dataValidation>
  </dataValidations>
  <pageMargins left="0.7" right="0.7" top="0.75" bottom="0.75" header="0.3" footer="0.3"/>
  <pageSetup paperSize="9" scale="66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89" r:id="rId4" name="CommandButton3">
          <controlPr defaultSize="0" autoLine="0" r:id="rId5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4" name="CommandButton3"/>
      </mc:Fallback>
    </mc:AlternateContent>
    <mc:AlternateContent xmlns:mc="http://schemas.openxmlformats.org/markup-compatibility/2006">
      <mc:Choice Requires="x14">
        <control shapeId="20481" r:id="rId6" name="CommandButton1">
          <controlPr defaultSize="0" autoLine="0" r:id="rId7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6" name="CommandButton1"/>
      </mc:Fallback>
    </mc:AlternateContent>
    <mc:AlternateContent xmlns:mc="http://schemas.openxmlformats.org/markup-compatibility/2006">
      <mc:Choice Requires="x14">
        <control shapeId="20483" r:id="rId8" name="CommandButton2">
          <controlPr defaultSize="0" autoLine="0" r:id="rId9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8" name="CommandButton2"/>
      </mc:Fallback>
    </mc:AlternateContent>
    <mc:AlternateContent xmlns:mc="http://schemas.openxmlformats.org/markup-compatibility/2006">
      <mc:Choice Requires="x14">
        <control shapeId="20491" r:id="rId10" name="CommandButton4">
          <controlPr defaultSize="0" autoLine="0" r:id="rId11">
            <anchor>
              <from>
                <xdr:col>12</xdr:col>
                <xdr:colOff>1238250</xdr:colOff>
                <xdr:row>17</xdr:row>
                <xdr:rowOff>190500</xdr:rowOff>
              </from>
              <to>
                <xdr:col>12</xdr:col>
                <xdr:colOff>2543175</xdr:colOff>
                <xdr:row>24</xdr:row>
                <xdr:rowOff>85725</xdr:rowOff>
              </to>
            </anchor>
          </controlPr>
        </control>
      </mc:Choice>
      <mc:Fallback>
        <control shapeId="20491" r:id="rId10" name="CommandButton4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H31" sqref="H31"/>
    </sheetView>
  </sheetViews>
  <sheetFormatPr baseColWidth="10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1:P6"/>
  <sheetViews>
    <sheetView tabSelected="1" workbookViewId="0">
      <selection activeCell="J11" sqref="J11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  <col min="11" max="11" width="13.42578125" style="170" bestFit="1" customWidth="1"/>
    <col min="12" max="12" width="11.42578125" style="170"/>
  </cols>
  <sheetData>
    <row r="1" spans="2:16" ht="42.75" customHeight="1" thickBot="1">
      <c r="O1" s="168" t="s">
        <v>645</v>
      </c>
      <c r="P1" s="169">
        <v>1.45</v>
      </c>
    </row>
    <row r="2" spans="2:16">
      <c r="B2" t="s">
        <v>74</v>
      </c>
      <c r="C2" t="s">
        <v>32</v>
      </c>
      <c r="D2" t="s">
        <v>40</v>
      </c>
      <c r="E2" t="s">
        <v>41</v>
      </c>
      <c r="F2" t="s">
        <v>42</v>
      </c>
      <c r="G2" t="s">
        <v>37</v>
      </c>
      <c r="H2" t="s">
        <v>38</v>
      </c>
      <c r="I2" t="s">
        <v>43</v>
      </c>
      <c r="J2" t="s">
        <v>78</v>
      </c>
      <c r="K2" s="170" t="s">
        <v>128</v>
      </c>
      <c r="L2" s="170" t="s">
        <v>127</v>
      </c>
    </row>
    <row r="3" spans="2:16" ht="30">
      <c r="B3" t="s">
        <v>643</v>
      </c>
      <c r="C3" s="120">
        <v>3020</v>
      </c>
      <c r="D3" s="167" t="s">
        <v>181</v>
      </c>
      <c r="E3" t="s">
        <v>182</v>
      </c>
      <c r="F3" s="120">
        <v>0.34</v>
      </c>
      <c r="G3" t="s">
        <v>15</v>
      </c>
      <c r="H3" t="s">
        <v>22</v>
      </c>
      <c r="J3" s="119" t="s">
        <v>110</v>
      </c>
      <c r="K3" s="170">
        <f>VLOOKUP(Tableau6[[#This Row],[Désignation]],FACTURE!C:F,3,FALSE)</f>
        <v>5.38</v>
      </c>
      <c r="L3" s="172">
        <f>_xlfn.SWITCH(Tableau6[[#This Row],[Avoir]],"TOTAL",Tableau6[[#This Row],[Prix facturé]]*Tableau6[[#This Row],[Qté]],"50%",(Tableau6[[#This Row],[Prix facturé]]-$P$1)*0.5*Tableau6[[#This Row],[Qté]])</f>
        <v>1.8292000000000002</v>
      </c>
    </row>
    <row r="4" spans="2:16">
      <c r="B4" t="s">
        <v>643</v>
      </c>
      <c r="C4" s="120">
        <v>6094</v>
      </c>
      <c r="D4" s="167" t="s">
        <v>276</v>
      </c>
      <c r="E4" t="s">
        <v>171</v>
      </c>
      <c r="F4" s="120">
        <v>0.49</v>
      </c>
      <c r="G4" t="s">
        <v>15</v>
      </c>
      <c r="H4" t="s">
        <v>22</v>
      </c>
      <c r="J4" s="119" t="s">
        <v>110</v>
      </c>
      <c r="K4" s="170">
        <f>VLOOKUP(Tableau6[[#This Row],[Désignation]],FACTURE!C:F,3,FALSE)</f>
        <v>2.67</v>
      </c>
      <c r="L4" s="172">
        <f>_xlfn.SWITCH(Tableau6[[#This Row],[Avoir]],"TOTAL",Tableau6[[#This Row],[Prix facturé]]*Tableau6[[#This Row],[Qté]],"50%",(Tableau6[[#This Row],[Prix facturé]]-$P$1)*0.5*Tableau6[[#This Row],[Qté]])</f>
        <v>1.3083</v>
      </c>
    </row>
    <row r="5" spans="2:16">
      <c r="B5" t="s">
        <v>643</v>
      </c>
      <c r="C5" s="120">
        <v>3265</v>
      </c>
      <c r="D5" s="167" t="s">
        <v>385</v>
      </c>
      <c r="E5" t="s">
        <v>174</v>
      </c>
      <c r="F5" s="120">
        <v>2.8</v>
      </c>
      <c r="G5" t="s">
        <v>15</v>
      </c>
      <c r="H5" t="s">
        <v>22</v>
      </c>
      <c r="I5" t="s">
        <v>644</v>
      </c>
      <c r="J5" s="119" t="s">
        <v>110</v>
      </c>
      <c r="K5" s="170">
        <f>VLOOKUP(Tableau6[[#This Row],[Désignation]],FACTURE!C:F,3,FALSE)</f>
        <v>5</v>
      </c>
      <c r="L5" s="172">
        <f>_xlfn.SWITCH(Tableau6[[#This Row],[Avoir]],"TOTAL",Tableau6[[#This Row],[Prix facturé]]*Tableau6[[#This Row],[Qté]],"50%",(Tableau6[[#This Row],[Prix facturé]]-$P$1)*0.5*Tableau6[[#This Row],[Qté]])</f>
        <v>14</v>
      </c>
    </row>
    <row r="6" spans="2:16">
      <c r="B6" t="s">
        <v>643</v>
      </c>
      <c r="C6" s="120">
        <v>3112</v>
      </c>
      <c r="D6" s="167" t="s">
        <v>473</v>
      </c>
      <c r="E6" t="s">
        <v>474</v>
      </c>
      <c r="F6" s="120">
        <v>2.63</v>
      </c>
      <c r="G6" t="s">
        <v>15</v>
      </c>
      <c r="H6" t="s">
        <v>22</v>
      </c>
      <c r="J6" s="119" t="s">
        <v>111</v>
      </c>
      <c r="K6" s="170">
        <f>VLOOKUP(Tableau6[[#This Row],[Désignation]],FACTURE!C:F,3,FALSE)</f>
        <v>3.35</v>
      </c>
      <c r="L6" s="172">
        <f>_xlfn.SWITCH(Tableau6[[#This Row],[Avoir]],"TOTAL",Tableau6[[#This Row],[Prix facturé]]*Tableau6[[#This Row],[Qté]],"50%",(Tableau6[[#This Row],[Prix facturé]]-$P$1)*0.5*Tableau6[[#This Row],[Qté]])</f>
        <v>2.4984999999999999</v>
      </c>
    </row>
  </sheetData>
  <dataValidations count="1">
    <dataValidation type="list" allowBlank="1" showInputMessage="1" showErrorMessage="1" sqref="J3:J6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ommandButton2">
          <controlPr defaultSize="0" autoLine="0" r:id="rId5">
            <anchor>
              <from>
                <xdr:col>14</xdr:col>
                <xdr:colOff>28575</xdr:colOff>
                <xdr:row>8</xdr:row>
                <xdr:rowOff>114300</xdr:rowOff>
              </from>
              <to>
                <xdr:col>16</xdr:col>
                <xdr:colOff>676275</xdr:colOff>
                <xdr:row>12</xdr:row>
                <xdr:rowOff>104775</xdr:rowOff>
              </to>
            </anchor>
          </controlPr>
        </control>
      </mc:Choice>
      <mc:Fallback>
        <control shapeId="13315" r:id="rId4" name="CommandButton2"/>
      </mc:Fallback>
    </mc:AlternateContent>
    <mc:AlternateContent xmlns:mc="http://schemas.openxmlformats.org/markup-compatibility/2006">
      <mc:Choice Requires="x14">
        <control shapeId="13314" r:id="rId6" name="CommandButton1">
          <controlPr defaultSize="0" autoLine="0" r:id="rId7">
            <anchor>
              <from>
                <xdr:col>14</xdr:col>
                <xdr:colOff>38100</xdr:colOff>
                <xdr:row>3</xdr:row>
                <xdr:rowOff>133350</xdr:rowOff>
              </from>
              <to>
                <xdr:col>16</xdr:col>
                <xdr:colOff>685800</xdr:colOff>
                <xdr:row>7</xdr:row>
                <xdr:rowOff>123825</xdr:rowOff>
              </to>
            </anchor>
          </controlPr>
        </control>
      </mc:Choice>
      <mc:Fallback>
        <control shapeId="13314" r:id="rId6" name="CommandButton1"/>
      </mc:Fallback>
    </mc:AlternateContent>
  </controls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I23" sqref="I23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195" t="s">
        <v>129</v>
      </c>
      <c r="C2" s="195"/>
      <c r="D2" s="195"/>
      <c r="E2" s="195"/>
      <c r="F2" s="195"/>
      <c r="G2" s="195"/>
      <c r="H2" s="195"/>
      <c r="I2" s="195"/>
      <c r="J2" s="195"/>
      <c r="K2" s="195"/>
      <c r="L2" s="195" t="s">
        <v>48</v>
      </c>
      <c r="M2" s="195"/>
      <c r="N2" s="195"/>
      <c r="O2" s="164" t="s">
        <v>130</v>
      </c>
      <c r="P2" s="164" t="s">
        <v>131</v>
      </c>
    </row>
    <row r="3" spans="2:16">
      <c r="B3" s="118" t="s">
        <v>135</v>
      </c>
      <c r="C3" s="118" t="s">
        <v>49</v>
      </c>
      <c r="D3" s="118" t="s">
        <v>53</v>
      </c>
      <c r="E3" s="118" t="s">
        <v>57</v>
      </c>
      <c r="F3" s="118" t="s">
        <v>61</v>
      </c>
      <c r="G3" s="118" t="s">
        <v>64</v>
      </c>
      <c r="H3" s="118" t="s">
        <v>59</v>
      </c>
      <c r="I3" s="118" t="s">
        <v>55</v>
      </c>
      <c r="J3" s="118" t="s">
        <v>68</v>
      </c>
      <c r="K3" s="118" t="s">
        <v>70</v>
      </c>
      <c r="L3" s="165" t="s">
        <v>51</v>
      </c>
      <c r="M3" s="118" t="s">
        <v>132</v>
      </c>
      <c r="N3" s="118" t="s">
        <v>133</v>
      </c>
      <c r="O3" s="118" t="s">
        <v>65</v>
      </c>
      <c r="P3" s="118" t="s">
        <v>134</v>
      </c>
    </row>
    <row r="4" spans="2:16">
      <c r="B4" s="118" t="s">
        <v>643</v>
      </c>
      <c r="C4" s="118" t="s">
        <v>631</v>
      </c>
      <c r="D4" s="118" t="s">
        <v>632</v>
      </c>
      <c r="E4" s="118" t="s">
        <v>633</v>
      </c>
      <c r="F4" s="118" t="s">
        <v>634</v>
      </c>
      <c r="G4" s="118" t="s">
        <v>635</v>
      </c>
      <c r="H4" s="118" t="s">
        <v>636</v>
      </c>
      <c r="I4" s="118" t="s">
        <v>637</v>
      </c>
      <c r="J4" s="118" t="s">
        <v>638</v>
      </c>
      <c r="K4" s="118" t="s">
        <v>636</v>
      </c>
      <c r="L4" s="165" t="s">
        <v>639</v>
      </c>
      <c r="M4" s="118" t="s">
        <v>640</v>
      </c>
      <c r="N4" s="118" t="s">
        <v>641</v>
      </c>
      <c r="O4" s="118" t="s">
        <v>642</v>
      </c>
      <c r="P4" s="118" t="s">
        <v>642</v>
      </c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7030A0"/>
    <pageSetUpPr fitToPage="1"/>
  </sheetPr>
  <dimension ref="C1:P17"/>
  <sheetViews>
    <sheetView workbookViewId="0">
      <selection activeCell="G30" sqref="G30"/>
    </sheetView>
  </sheetViews>
  <sheetFormatPr baseColWidth="10" defaultRowHeight="15"/>
  <cols>
    <col min="1" max="1" width="2.7109375" customWidth="1"/>
    <col min="2" max="2" width="1.7109375" customWidth="1"/>
    <col min="3" max="3" width="14.7109375" style="36" bestFit="1" customWidth="1"/>
    <col min="4" max="4" width="36.28515625" style="36" customWidth="1"/>
    <col min="5" max="5" width="7.7109375" style="36" customWidth="1"/>
    <col min="6" max="7" width="8.85546875" style="36" customWidth="1"/>
    <col min="8" max="8" width="12.5703125" style="36" customWidth="1"/>
    <col min="9" max="9" width="8.42578125" style="36" customWidth="1"/>
    <col min="10" max="10" width="59.28515625" style="36" bestFit="1" customWidth="1"/>
    <col min="11" max="11" width="17.5703125" style="36" customWidth="1"/>
    <col min="12" max="12" width="11.42578125" customWidth="1"/>
  </cols>
  <sheetData>
    <row r="1" spans="3:16" ht="29.25" customHeight="1">
      <c r="C1" s="178" t="s">
        <v>44</v>
      </c>
      <c r="D1" s="179"/>
      <c r="E1" s="179"/>
      <c r="F1" s="179"/>
      <c r="G1" s="179"/>
      <c r="H1" s="179"/>
      <c r="I1" s="179"/>
      <c r="J1" s="179"/>
      <c r="K1" s="180"/>
    </row>
    <row r="2" spans="3:16" ht="15.75" customHeight="1">
      <c r="C2" s="181"/>
      <c r="D2" s="182"/>
      <c r="E2" s="182"/>
      <c r="F2" s="182"/>
      <c r="G2" s="182"/>
      <c r="H2" s="182"/>
      <c r="I2" s="182"/>
      <c r="J2" s="182"/>
      <c r="K2" s="149"/>
      <c r="N2" s="196" t="s">
        <v>136</v>
      </c>
      <c r="O2" s="196"/>
      <c r="P2" s="196"/>
    </row>
    <row r="3" spans="3:16" ht="20.25">
      <c r="C3" s="200" t="s">
        <v>121</v>
      </c>
      <c r="D3" s="201"/>
      <c r="E3" s="201"/>
      <c r="F3" s="201"/>
      <c r="G3" s="201"/>
      <c r="H3" s="201"/>
      <c r="I3" s="201"/>
      <c r="J3" s="201"/>
      <c r="K3" s="202"/>
      <c r="N3" s="196" t="s">
        <v>643</v>
      </c>
      <c r="O3" s="196"/>
      <c r="P3" s="196"/>
    </row>
    <row r="4" spans="3:16" ht="15" customHeight="1">
      <c r="C4" s="185" t="s">
        <v>47</v>
      </c>
      <c r="D4" s="186"/>
      <c r="E4" s="187" t="s">
        <v>48</v>
      </c>
      <c r="F4" s="187"/>
      <c r="G4" s="187"/>
      <c r="H4" s="187"/>
      <c r="I4" s="187"/>
      <c r="J4" s="187"/>
      <c r="K4" s="188"/>
    </row>
    <row r="5" spans="3:16" ht="15" customHeight="1">
      <c r="C5" s="150" t="s">
        <v>49</v>
      </c>
      <c r="D5" s="122" t="s">
        <v>120</v>
      </c>
      <c r="E5" s="176" t="s">
        <v>51</v>
      </c>
      <c r="F5" s="176"/>
      <c r="G5" s="176"/>
      <c r="H5" s="176"/>
      <c r="I5" s="197" t="s">
        <v>120</v>
      </c>
      <c r="J5" s="198"/>
      <c r="K5" s="199"/>
    </row>
    <row r="6" spans="3:16">
      <c r="C6" s="150" t="s">
        <v>53</v>
      </c>
      <c r="D6" s="122" t="s">
        <v>120</v>
      </c>
      <c r="E6" s="193" t="s">
        <v>55</v>
      </c>
      <c r="F6" s="193"/>
      <c r="G6" s="193"/>
      <c r="H6" s="193"/>
      <c r="I6" s="197" t="s">
        <v>120</v>
      </c>
      <c r="J6" s="198"/>
      <c r="K6" s="199"/>
    </row>
    <row r="7" spans="3:16" ht="15" customHeight="1">
      <c r="C7" s="150" t="s">
        <v>57</v>
      </c>
      <c r="D7" s="122" t="s">
        <v>120</v>
      </c>
      <c r="E7" s="193" t="s">
        <v>138</v>
      </c>
      <c r="F7" s="193"/>
      <c r="G7" s="193"/>
      <c r="H7" s="193"/>
      <c r="I7" s="197" t="s">
        <v>120</v>
      </c>
      <c r="J7" s="198"/>
      <c r="K7" s="199"/>
    </row>
    <row r="8" spans="3:16" ht="15" customHeight="1">
      <c r="C8" s="150" t="s">
        <v>61</v>
      </c>
      <c r="D8" s="122" t="s">
        <v>120</v>
      </c>
      <c r="E8" s="193" t="s">
        <v>63</v>
      </c>
      <c r="F8" s="193"/>
      <c r="G8" s="193"/>
      <c r="H8" s="193"/>
      <c r="I8" s="193"/>
      <c r="J8" s="193"/>
      <c r="K8" s="194"/>
    </row>
    <row r="9" spans="3:16">
      <c r="C9" s="150" t="s">
        <v>64</v>
      </c>
      <c r="D9" s="122" t="s">
        <v>120</v>
      </c>
      <c r="E9" s="193"/>
      <c r="F9" s="193"/>
      <c r="G9" s="193"/>
      <c r="H9" s="193"/>
      <c r="I9" s="193"/>
      <c r="J9" s="193"/>
      <c r="K9" s="194"/>
    </row>
    <row r="10" spans="3:16" ht="15" customHeight="1">
      <c r="C10" s="150" t="s">
        <v>59</v>
      </c>
      <c r="D10" s="122" t="s">
        <v>120</v>
      </c>
      <c r="E10" s="193" t="s">
        <v>65</v>
      </c>
      <c r="F10" s="193"/>
      <c r="G10" s="193"/>
      <c r="H10" s="193"/>
      <c r="I10" s="197" t="s">
        <v>120</v>
      </c>
      <c r="J10" s="198"/>
      <c r="K10" s="199"/>
    </row>
    <row r="11" spans="3:16" ht="15" customHeight="1">
      <c r="C11" s="150" t="s">
        <v>55</v>
      </c>
      <c r="D11" s="122" t="s">
        <v>120</v>
      </c>
      <c r="E11" s="176" t="s">
        <v>139</v>
      </c>
      <c r="F11" s="176"/>
      <c r="G11" s="176"/>
      <c r="H11" s="176"/>
      <c r="I11" s="176"/>
      <c r="J11" s="176"/>
      <c r="K11" s="177"/>
    </row>
    <row r="12" spans="3:16">
      <c r="C12" s="150" t="s">
        <v>68</v>
      </c>
      <c r="D12" s="122" t="s">
        <v>120</v>
      </c>
      <c r="E12" s="176"/>
      <c r="F12" s="176"/>
      <c r="G12" s="176"/>
      <c r="H12" s="176"/>
      <c r="I12" s="176"/>
      <c r="J12" s="176"/>
      <c r="K12" s="177"/>
    </row>
    <row r="13" spans="3:16" ht="15" customHeight="1">
      <c r="C13" s="150" t="s">
        <v>70</v>
      </c>
      <c r="D13" s="122" t="s">
        <v>120</v>
      </c>
      <c r="E13" s="176" t="s">
        <v>65</v>
      </c>
      <c r="F13" s="176"/>
      <c r="G13" s="176"/>
      <c r="H13" s="176"/>
      <c r="I13" s="197" t="s">
        <v>120</v>
      </c>
      <c r="J13" s="198"/>
      <c r="K13" s="199"/>
    </row>
    <row r="14" spans="3:16" ht="15" customHeight="1">
      <c r="C14" s="189"/>
      <c r="D14" s="190"/>
      <c r="E14" s="191" t="s">
        <v>120</v>
      </c>
      <c r="F14" s="191"/>
      <c r="G14" s="191"/>
      <c r="H14" s="191"/>
      <c r="I14" s="191"/>
      <c r="J14" s="191"/>
      <c r="K14" s="192"/>
    </row>
    <row r="15" spans="3:16" ht="21.75" customHeight="1">
      <c r="C15" s="23" t="s">
        <v>32</v>
      </c>
      <c r="D15" s="151" t="s">
        <v>75</v>
      </c>
      <c r="E15" s="153" t="s">
        <v>42</v>
      </c>
      <c r="F15" s="153" t="s">
        <v>37</v>
      </c>
      <c r="G15" s="153" t="s">
        <v>76</v>
      </c>
      <c r="H15" s="151" t="s">
        <v>38</v>
      </c>
      <c r="I15" s="153" t="s">
        <v>78</v>
      </c>
      <c r="J15" s="151" t="s">
        <v>79</v>
      </c>
      <c r="K15" s="26" t="s">
        <v>80</v>
      </c>
    </row>
    <row r="16" spans="3:16">
      <c r="C16" s="161"/>
      <c r="D16" s="152"/>
      <c r="E16" s="154"/>
      <c r="F16" s="154"/>
      <c r="G16" s="171"/>
      <c r="H16" s="152"/>
      <c r="I16" s="154"/>
      <c r="J16" s="152"/>
      <c r="K16" s="160"/>
    </row>
    <row r="17" spans="3:11" ht="15.75" thickBot="1">
      <c r="C17" s="162"/>
      <c r="D17" s="155"/>
      <c r="E17" s="156"/>
      <c r="F17" s="157"/>
      <c r="G17" s="157"/>
      <c r="H17" s="157"/>
      <c r="I17" s="157"/>
      <c r="J17" s="158" t="s">
        <v>89</v>
      </c>
      <c r="K17" s="159">
        <f>SUM(Tableau9[A Rembourser])</f>
        <v>0</v>
      </c>
    </row>
  </sheetData>
  <mergeCells count="21">
    <mergeCell ref="C1:K1"/>
    <mergeCell ref="C2:J2"/>
    <mergeCell ref="E4:K4"/>
    <mergeCell ref="E5:H5"/>
    <mergeCell ref="I5:K5"/>
    <mergeCell ref="C4:D4"/>
    <mergeCell ref="C3:K3"/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76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5846" r:id="rId4" name="CommandButton4">
          <controlPr defaultSize="0" autoLine="0" r:id="rId5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4" name="CommandButton4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5" r:id="rId8" name="CommandButton3">
          <controlPr defaultSize="0" autoLine="0" r:id="rId9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8" name="CommandButton3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theme="4"/>
  </sheetPr>
  <dimension ref="B2:J3"/>
  <sheetViews>
    <sheetView workbookViewId="0">
      <selection activeCell="A3" sqref="A3:XFD8"/>
    </sheetView>
  </sheetViews>
  <sheetFormatPr baseColWidth="10" defaultRowHeight="15"/>
  <cols>
    <col min="2" max="2" width="11.42578125" style="11"/>
    <col min="3" max="3" width="108.85546875" bestFit="1" customWidth="1"/>
    <col min="6" max="6" width="0" hidden="1" customWidth="1"/>
    <col min="7" max="7" width="13.42578125" hidden="1" customWidth="1"/>
    <col min="9" max="9" width="16.5703125" bestFit="1" customWidth="1"/>
    <col min="10" max="10" width="0" hidden="1" customWidth="1"/>
  </cols>
  <sheetData>
    <row r="2" spans="2:10">
      <c r="B2" s="11" t="s">
        <v>32</v>
      </c>
      <c r="C2" t="s">
        <v>33</v>
      </c>
      <c r="D2" t="s">
        <v>34</v>
      </c>
      <c r="E2" t="s">
        <v>35</v>
      </c>
      <c r="F2" t="s">
        <v>37</v>
      </c>
      <c r="G2" t="s">
        <v>38</v>
      </c>
      <c r="H2" t="s">
        <v>36</v>
      </c>
      <c r="I2" t="s">
        <v>39</v>
      </c>
      <c r="J2" t="s">
        <v>114</v>
      </c>
    </row>
    <row r="3" spans="2:10">
      <c r="H3" s="11"/>
      <c r="I3" s="11"/>
      <c r="J3" s="11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>
              <from>
                <xdr:col>11</xdr:col>
                <xdr:colOff>590550</xdr:colOff>
                <xdr:row>0</xdr:row>
                <xdr:rowOff>114300</xdr:rowOff>
              </from>
              <to>
                <xdr:col>14</xdr:col>
                <xdr:colOff>561975</xdr:colOff>
                <xdr:row>5</xdr:row>
                <xdr:rowOff>152400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>
              <from>
                <xdr:col>11</xdr:col>
                <xdr:colOff>723900</xdr:colOff>
                <xdr:row>8</xdr:row>
                <xdr:rowOff>133350</xdr:rowOff>
              </from>
              <to>
                <xdr:col>14</xdr:col>
                <xdr:colOff>714375</xdr:colOff>
                <xdr:row>13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</controls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H5" sqref="H5:J7"/>
    </sheetView>
  </sheetViews>
  <sheetFormatPr baseColWidth="10" defaultRowHeight="15"/>
  <cols>
    <col min="1" max="1" width="12.5703125" style="36" bestFit="1" customWidth="1"/>
    <col min="2" max="2" width="0.7109375" style="36" customWidth="1"/>
    <col min="3" max="3" width="14.7109375" style="36" bestFit="1" customWidth="1"/>
    <col min="4" max="4" width="36.28515625" style="36" customWidth="1"/>
    <col min="5" max="5" width="6.140625" style="36" bestFit="1" customWidth="1"/>
    <col min="6" max="6" width="6.85546875" style="36" bestFit="1" customWidth="1"/>
    <col min="7" max="7" width="10" style="36" bestFit="1" customWidth="1"/>
    <col min="8" max="8" width="6.85546875" style="36" customWidth="1"/>
    <col min="9" max="9" width="59.28515625" style="36" bestFit="1" customWidth="1"/>
    <col min="10" max="10" width="15.28515625" style="36" customWidth="1"/>
  </cols>
  <sheetData>
    <row r="1" spans="1:10" ht="29.25">
      <c r="A1" s="178" t="s">
        <v>44</v>
      </c>
      <c r="B1" s="179"/>
      <c r="C1" s="179"/>
      <c r="D1" s="179"/>
      <c r="E1" s="179"/>
      <c r="F1" s="179"/>
      <c r="G1" s="179"/>
      <c r="H1" s="179"/>
      <c r="I1" s="179"/>
      <c r="J1" s="180"/>
    </row>
    <row r="2" spans="1:10" ht="15.75">
      <c r="A2" s="181" t="s">
        <v>45</v>
      </c>
      <c r="B2" s="206"/>
      <c r="C2" s="206"/>
      <c r="D2" s="206"/>
      <c r="E2" s="206"/>
      <c r="F2" s="206"/>
      <c r="G2" s="206"/>
      <c r="H2" s="206"/>
      <c r="I2" s="206"/>
      <c r="J2" s="16"/>
    </row>
    <row r="3" spans="1:10" ht="20.25">
      <c r="A3" s="17"/>
      <c r="B3" s="18"/>
      <c r="C3" s="18"/>
      <c r="D3" s="18"/>
      <c r="E3" s="207" t="s">
        <v>46</v>
      </c>
      <c r="F3" s="207"/>
      <c r="G3" s="207"/>
      <c r="H3" s="207"/>
      <c r="I3" s="207"/>
      <c r="J3" s="184"/>
    </row>
    <row r="4" spans="1:10">
      <c r="A4" s="185" t="s">
        <v>47</v>
      </c>
      <c r="B4" s="208"/>
      <c r="C4" s="208"/>
      <c r="D4" s="208"/>
      <c r="E4" s="209" t="s">
        <v>48</v>
      </c>
      <c r="F4" s="209"/>
      <c r="G4" s="209"/>
      <c r="H4" s="209"/>
      <c r="I4" s="209"/>
      <c r="J4" s="188"/>
    </row>
    <row r="5" spans="1:10">
      <c r="A5" s="19" t="s">
        <v>49</v>
      </c>
      <c r="B5" s="20"/>
      <c r="C5" s="21"/>
      <c r="D5" s="22" t="s">
        <v>50</v>
      </c>
      <c r="E5" s="203" t="s">
        <v>51</v>
      </c>
      <c r="F5" s="203"/>
      <c r="G5" s="203"/>
      <c r="H5" s="204" t="s">
        <v>52</v>
      </c>
      <c r="I5" s="204"/>
      <c r="J5" s="205"/>
    </row>
    <row r="6" spans="1:10">
      <c r="A6" s="19" t="s">
        <v>53</v>
      </c>
      <c r="B6" s="20"/>
      <c r="C6" s="21"/>
      <c r="D6" s="22" t="s">
        <v>54</v>
      </c>
      <c r="E6" s="212" t="s">
        <v>55</v>
      </c>
      <c r="F6" s="212"/>
      <c r="G6" s="212"/>
      <c r="H6" s="204" t="s">
        <v>56</v>
      </c>
      <c r="I6" s="204"/>
      <c r="J6" s="205"/>
    </row>
    <row r="7" spans="1:10">
      <c r="A7" s="19" t="s">
        <v>57</v>
      </c>
      <c r="B7" s="20"/>
      <c r="C7" s="21"/>
      <c r="D7" s="22" t="s">
        <v>58</v>
      </c>
      <c r="E7" s="212" t="s">
        <v>59</v>
      </c>
      <c r="F7" s="212"/>
      <c r="G7" s="212"/>
      <c r="H7" s="204" t="s">
        <v>60</v>
      </c>
      <c r="I7" s="204"/>
      <c r="J7" s="205"/>
    </row>
    <row r="8" spans="1:10">
      <c r="A8" s="19" t="s">
        <v>61</v>
      </c>
      <c r="B8" s="20"/>
      <c r="C8" s="21"/>
      <c r="D8" s="22" t="s">
        <v>62</v>
      </c>
      <c r="E8" s="212" t="s">
        <v>63</v>
      </c>
      <c r="F8" s="212"/>
      <c r="G8" s="212"/>
      <c r="H8" s="212"/>
      <c r="I8" s="212"/>
      <c r="J8" s="194"/>
    </row>
    <row r="9" spans="1:10">
      <c r="A9" s="19" t="s">
        <v>64</v>
      </c>
      <c r="B9" s="20"/>
      <c r="C9" s="21"/>
      <c r="D9" s="22"/>
      <c r="E9" s="212"/>
      <c r="F9" s="212"/>
      <c r="G9" s="212"/>
      <c r="H9" s="212"/>
      <c r="I9" s="212"/>
      <c r="J9" s="194"/>
    </row>
    <row r="10" spans="1:10">
      <c r="A10" s="19" t="s">
        <v>59</v>
      </c>
      <c r="B10" s="20"/>
      <c r="C10" s="21"/>
      <c r="D10" s="22" t="s">
        <v>60</v>
      </c>
      <c r="E10" s="212" t="s">
        <v>65</v>
      </c>
      <c r="F10" s="212"/>
      <c r="G10" s="212"/>
      <c r="H10" s="204" t="s">
        <v>66</v>
      </c>
      <c r="I10" s="204"/>
      <c r="J10" s="205"/>
    </row>
    <row r="11" spans="1:10">
      <c r="A11" s="19" t="s">
        <v>55</v>
      </c>
      <c r="B11" s="20"/>
      <c r="C11" s="21"/>
      <c r="D11" s="22" t="s">
        <v>56</v>
      </c>
      <c r="E11" s="203" t="s">
        <v>67</v>
      </c>
      <c r="F11" s="203"/>
      <c r="G11" s="203"/>
      <c r="H11" s="203"/>
      <c r="I11" s="203"/>
      <c r="J11" s="177"/>
    </row>
    <row r="12" spans="1:10">
      <c r="A12" s="19" t="s">
        <v>68</v>
      </c>
      <c r="B12" s="20"/>
      <c r="C12" s="21"/>
      <c r="D12" s="22" t="s">
        <v>69</v>
      </c>
      <c r="E12" s="203"/>
      <c r="F12" s="203"/>
      <c r="G12" s="203"/>
      <c r="H12" s="203"/>
      <c r="I12" s="203"/>
      <c r="J12" s="177"/>
    </row>
    <row r="13" spans="1:10">
      <c r="A13" s="19" t="s">
        <v>70</v>
      </c>
      <c r="B13" s="20"/>
      <c r="C13" s="21"/>
      <c r="D13" s="22"/>
      <c r="E13" s="203" t="s">
        <v>65</v>
      </c>
      <c r="F13" s="203"/>
      <c r="G13" s="203"/>
      <c r="H13" s="204" t="s">
        <v>71</v>
      </c>
      <c r="I13" s="204"/>
      <c r="J13" s="205"/>
    </row>
    <row r="14" spans="1:10">
      <c r="A14" s="189" t="s">
        <v>72</v>
      </c>
      <c r="B14" s="213"/>
      <c r="C14" s="213"/>
      <c r="D14" s="213"/>
      <c r="E14" s="214" t="s">
        <v>73</v>
      </c>
      <c r="F14" s="214"/>
      <c r="G14" s="214"/>
      <c r="H14" s="214"/>
      <c r="I14" s="214"/>
      <c r="J14" s="192"/>
    </row>
    <row r="15" spans="1:10" ht="30">
      <c r="A15" s="23" t="s">
        <v>74</v>
      </c>
      <c r="B15" s="24"/>
      <c r="C15" s="25" t="s">
        <v>32</v>
      </c>
      <c r="D15" s="25" t="s">
        <v>75</v>
      </c>
      <c r="E15" s="24" t="s">
        <v>76</v>
      </c>
      <c r="F15" s="24" t="s">
        <v>77</v>
      </c>
      <c r="G15" s="25" t="s">
        <v>38</v>
      </c>
      <c r="H15" s="24" t="s">
        <v>78</v>
      </c>
      <c r="I15" s="25" t="s">
        <v>79</v>
      </c>
      <c r="J15" s="26" t="s">
        <v>80</v>
      </c>
    </row>
    <row r="16" spans="1:10">
      <c r="A16" s="27" t="s">
        <v>81</v>
      </c>
      <c r="B16" s="28"/>
      <c r="C16" s="28"/>
      <c r="D16" s="28" t="s">
        <v>82</v>
      </c>
      <c r="E16" s="29"/>
      <c r="F16" s="30" t="s">
        <v>83</v>
      </c>
      <c r="G16" s="29" t="s">
        <v>22</v>
      </c>
      <c r="H16" s="29" t="s">
        <v>84</v>
      </c>
      <c r="I16" s="29"/>
      <c r="J16" s="31"/>
    </row>
    <row r="17" spans="1:10">
      <c r="A17" s="210" t="s">
        <v>85</v>
      </c>
      <c r="B17" s="211"/>
      <c r="C17" s="211"/>
      <c r="D17" s="211"/>
      <c r="E17" s="211"/>
      <c r="F17" s="30" t="s">
        <v>83</v>
      </c>
      <c r="G17" s="29" t="s">
        <v>21</v>
      </c>
      <c r="H17" s="32">
        <v>0.5</v>
      </c>
      <c r="I17" s="29"/>
      <c r="J17" s="31"/>
    </row>
    <row r="18" spans="1:10" ht="15.75">
      <c r="A18" s="33" t="s">
        <v>86</v>
      </c>
      <c r="B18" s="34"/>
      <c r="C18" s="35"/>
      <c r="E18" s="37"/>
      <c r="F18" s="38"/>
      <c r="G18" s="38"/>
      <c r="H18" s="38"/>
      <c r="I18" s="39"/>
      <c r="J18" s="40"/>
    </row>
    <row r="19" spans="1:10">
      <c r="A19" s="41"/>
      <c r="B19" s="42"/>
      <c r="C19" s="43"/>
      <c r="D19" s="43"/>
      <c r="E19" s="44"/>
      <c r="F19" s="45"/>
      <c r="G19" s="45"/>
      <c r="H19" s="45"/>
      <c r="I19" s="46"/>
      <c r="J19" s="47"/>
    </row>
    <row r="20" spans="1:10">
      <c r="A20" s="41"/>
      <c r="B20" s="42"/>
      <c r="C20" s="43"/>
      <c r="D20" s="43"/>
      <c r="E20" s="44"/>
      <c r="F20" s="45"/>
      <c r="G20" s="45"/>
      <c r="H20" s="45"/>
      <c r="I20" s="46"/>
      <c r="J20" s="47"/>
    </row>
    <row r="21" spans="1:10">
      <c r="A21" s="41"/>
      <c r="B21" s="42"/>
      <c r="C21" s="43"/>
      <c r="D21" s="43"/>
      <c r="E21" s="44"/>
      <c r="F21" s="45"/>
      <c r="G21" s="48"/>
      <c r="H21" s="45"/>
      <c r="I21" s="46"/>
      <c r="J21" s="47"/>
    </row>
    <row r="22" spans="1:10">
      <c r="A22" s="41"/>
      <c r="B22" s="42"/>
      <c r="C22" s="43"/>
      <c r="D22" s="43"/>
      <c r="E22" s="44"/>
      <c r="F22" s="45"/>
      <c r="G22" s="45"/>
      <c r="H22" s="45"/>
      <c r="I22" s="46"/>
      <c r="J22" s="47"/>
    </row>
    <row r="23" spans="1:10">
      <c r="A23" s="41"/>
      <c r="B23" s="42"/>
      <c r="C23" s="43"/>
      <c r="D23" s="43"/>
      <c r="E23" s="45"/>
      <c r="F23" s="45"/>
      <c r="G23" s="45"/>
      <c r="H23" s="45"/>
      <c r="I23" s="43"/>
      <c r="J23" s="49"/>
    </row>
    <row r="24" spans="1:10">
      <c r="A24" s="41"/>
      <c r="B24" s="42"/>
      <c r="C24" s="50"/>
      <c r="D24" s="42"/>
      <c r="E24" s="51"/>
      <c r="F24" s="52"/>
      <c r="G24" s="52"/>
      <c r="H24" s="52"/>
      <c r="I24" s="53" t="s">
        <v>89</v>
      </c>
      <c r="J24" s="54">
        <f>SUM(J19:J23)</f>
        <v>0</v>
      </c>
    </row>
    <row r="25" spans="1:10">
      <c r="A25" s="55"/>
      <c r="B25" s="56"/>
      <c r="C25" s="57"/>
      <c r="D25" s="58"/>
      <c r="E25" s="37"/>
      <c r="F25" s="38"/>
      <c r="G25" s="38"/>
      <c r="H25" s="38"/>
      <c r="I25" s="39"/>
      <c r="J25" s="59"/>
    </row>
    <row r="26" spans="1:10">
      <c r="A26" s="60" t="s">
        <v>90</v>
      </c>
      <c r="B26" s="61"/>
      <c r="C26" s="57"/>
      <c r="E26" s="37"/>
      <c r="F26" s="38"/>
      <c r="G26" s="38"/>
      <c r="H26" s="38"/>
      <c r="I26" s="39"/>
      <c r="J26" s="59"/>
    </row>
    <row r="27" spans="1:10">
      <c r="A27" s="62"/>
      <c r="B27" s="61"/>
      <c r="C27" s="63">
        <v>1548</v>
      </c>
      <c r="D27" s="64" t="s">
        <v>91</v>
      </c>
      <c r="E27" s="65"/>
      <c r="F27" s="66">
        <v>1</v>
      </c>
      <c r="G27" s="66" t="s">
        <v>22</v>
      </c>
      <c r="H27" s="66" t="s">
        <v>84</v>
      </c>
      <c r="I27" s="67" t="s">
        <v>92</v>
      </c>
      <c r="J27" s="68">
        <f>E27*F27</f>
        <v>0</v>
      </c>
    </row>
    <row r="28" spans="1:10">
      <c r="A28" s="62"/>
      <c r="B28" s="61"/>
      <c r="C28" s="43">
        <v>1496</v>
      </c>
      <c r="D28" s="69" t="s">
        <v>93</v>
      </c>
      <c r="E28" s="44">
        <v>20.56</v>
      </c>
      <c r="F28" s="45">
        <v>1</v>
      </c>
      <c r="G28" s="45" t="s">
        <v>22</v>
      </c>
      <c r="H28" s="45" t="s">
        <v>84</v>
      </c>
      <c r="I28" s="46"/>
      <c r="J28" s="47">
        <f>E28*F28</f>
        <v>20.56</v>
      </c>
    </row>
    <row r="29" spans="1:10" ht="57">
      <c r="A29" s="62"/>
      <c r="B29" s="61"/>
      <c r="C29" s="43" t="s">
        <v>94</v>
      </c>
      <c r="D29" s="43" t="s">
        <v>95</v>
      </c>
      <c r="E29" s="45">
        <v>21.5</v>
      </c>
      <c r="F29" s="45">
        <v>0.76</v>
      </c>
      <c r="G29" s="45"/>
      <c r="H29" s="45" t="s">
        <v>84</v>
      </c>
      <c r="I29" s="43" t="s">
        <v>96</v>
      </c>
      <c r="J29" s="49">
        <f>59.34-(21.5*2)</f>
        <v>16.340000000000003</v>
      </c>
    </row>
    <row r="30" spans="1:10">
      <c r="A30" s="62"/>
      <c r="B30" s="61"/>
      <c r="C30" s="70"/>
      <c r="D30" s="70"/>
      <c r="E30" s="71"/>
      <c r="F30" s="72"/>
      <c r="G30" s="72"/>
      <c r="H30" s="72"/>
      <c r="I30" s="73" t="s">
        <v>89</v>
      </c>
      <c r="J30" s="74">
        <f>SUM(J27:J29)</f>
        <v>36.900000000000006</v>
      </c>
    </row>
    <row r="31" spans="1:10">
      <c r="A31" s="75"/>
      <c r="B31" s="56"/>
      <c r="C31" s="57"/>
      <c r="D31" s="58"/>
      <c r="E31" s="37"/>
      <c r="F31" s="38"/>
      <c r="G31" s="38"/>
      <c r="H31" s="38"/>
      <c r="I31" s="39"/>
      <c r="J31" s="59"/>
    </row>
    <row r="32" spans="1:10" ht="15.75">
      <c r="A32" s="76" t="s">
        <v>97</v>
      </c>
      <c r="B32" s="77"/>
      <c r="C32" s="57"/>
      <c r="E32" s="37"/>
      <c r="F32" s="38"/>
      <c r="G32" s="38"/>
      <c r="H32" s="38"/>
      <c r="I32" s="39"/>
      <c r="J32" s="59"/>
    </row>
    <row r="33" spans="1:10">
      <c r="A33" s="62"/>
      <c r="B33" s="78"/>
      <c r="C33" s="43">
        <v>3218</v>
      </c>
      <c r="D33" s="69" t="s">
        <v>98</v>
      </c>
      <c r="E33" s="44">
        <v>6.43</v>
      </c>
      <c r="F33" s="45">
        <v>0.5</v>
      </c>
      <c r="G33" s="45" t="s">
        <v>22</v>
      </c>
      <c r="H33" s="45" t="s">
        <v>84</v>
      </c>
      <c r="I33" s="46"/>
      <c r="J33" s="47">
        <f>E33*F33</f>
        <v>3.2149999999999999</v>
      </c>
    </row>
    <row r="34" spans="1:10" ht="57">
      <c r="A34" s="62"/>
      <c r="B34" s="78"/>
      <c r="C34" s="43" t="s">
        <v>94</v>
      </c>
      <c r="D34" s="43" t="s">
        <v>95</v>
      </c>
      <c r="E34" s="45">
        <v>21.5</v>
      </c>
      <c r="F34" s="45">
        <v>0.76</v>
      </c>
      <c r="G34" s="45"/>
      <c r="H34" s="45" t="s">
        <v>84</v>
      </c>
      <c r="I34" s="43" t="s">
        <v>96</v>
      </c>
      <c r="J34" s="47">
        <f>E34*F34</f>
        <v>16.34</v>
      </c>
    </row>
    <row r="35" spans="1:10" ht="42.75">
      <c r="A35" s="62"/>
      <c r="B35" s="78"/>
      <c r="C35" s="43">
        <v>3122</v>
      </c>
      <c r="D35" s="43" t="s">
        <v>99</v>
      </c>
      <c r="E35" s="45">
        <v>5.25</v>
      </c>
      <c r="F35" s="45">
        <v>1</v>
      </c>
      <c r="G35" s="45"/>
      <c r="H35" s="79">
        <v>0.5</v>
      </c>
      <c r="I35" s="46" t="s">
        <v>100</v>
      </c>
      <c r="J35" s="47">
        <f>(E35*F35)/2</f>
        <v>2.625</v>
      </c>
    </row>
    <row r="36" spans="1:10" ht="42.75">
      <c r="A36" s="62"/>
      <c r="B36" s="78"/>
      <c r="C36" s="43">
        <v>3757</v>
      </c>
      <c r="D36" s="43" t="s">
        <v>101</v>
      </c>
      <c r="E36" s="80">
        <v>13.98</v>
      </c>
      <c r="F36" s="45">
        <v>1.6</v>
      </c>
      <c r="G36" s="45"/>
      <c r="H36" s="79">
        <v>0.5</v>
      </c>
      <c r="I36" s="46" t="s">
        <v>102</v>
      </c>
      <c r="J36" s="49">
        <f>(E36*F36)/2</f>
        <v>11.184000000000001</v>
      </c>
    </row>
    <row r="37" spans="1:10">
      <c r="A37" s="62"/>
      <c r="B37" s="78"/>
      <c r="C37" s="81"/>
      <c r="D37" s="81"/>
      <c r="E37" s="82"/>
      <c r="F37" s="83"/>
      <c r="G37" s="83"/>
      <c r="H37" s="83"/>
      <c r="I37" s="84" t="s">
        <v>89</v>
      </c>
      <c r="J37" s="85">
        <f>SUM(J33:J36)</f>
        <v>33.364000000000004</v>
      </c>
    </row>
    <row r="38" spans="1:10">
      <c r="A38" s="75"/>
      <c r="B38" s="56"/>
      <c r="C38" s="57"/>
      <c r="D38" s="58"/>
      <c r="E38" s="37"/>
      <c r="F38" s="38"/>
      <c r="G38" s="38"/>
      <c r="H38" s="38"/>
      <c r="I38" s="39"/>
      <c r="J38" s="59"/>
    </row>
    <row r="39" spans="1:10">
      <c r="A39" s="33" t="s">
        <v>103</v>
      </c>
      <c r="B39" s="86"/>
      <c r="C39" s="57"/>
      <c r="D39" s="87"/>
      <c r="E39" s="88"/>
      <c r="F39" s="89"/>
      <c r="G39" s="89"/>
      <c r="H39" s="89"/>
      <c r="I39" s="90"/>
      <c r="J39" s="91"/>
    </row>
    <row r="40" spans="1:10" ht="28.5">
      <c r="A40" s="62"/>
      <c r="B40" s="42"/>
      <c r="C40" s="43" t="s">
        <v>87</v>
      </c>
      <c r="D40" s="43" t="s">
        <v>88</v>
      </c>
      <c r="E40" s="45">
        <v>24.24</v>
      </c>
      <c r="F40" s="45">
        <v>0.9</v>
      </c>
      <c r="G40" s="45"/>
      <c r="H40" s="79" t="s">
        <v>84</v>
      </c>
      <c r="I40" s="43" t="s">
        <v>104</v>
      </c>
      <c r="J40" s="49">
        <f>26.42-24.24</f>
        <v>2.1800000000000033</v>
      </c>
    </row>
    <row r="41" spans="1:10">
      <c r="A41" s="62"/>
      <c r="B41" s="42"/>
      <c r="C41" s="50"/>
      <c r="D41" s="42"/>
      <c r="E41" s="42"/>
      <c r="F41" s="42"/>
      <c r="G41" s="42"/>
      <c r="H41" s="42"/>
      <c r="I41" s="92" t="s">
        <v>89</v>
      </c>
      <c r="J41" s="54">
        <f>SUM(J40:J40)</f>
        <v>2.1800000000000033</v>
      </c>
    </row>
    <row r="42" spans="1:10">
      <c r="A42" s="93"/>
      <c r="B42" s="58"/>
      <c r="C42" s="94"/>
      <c r="D42" s="58"/>
      <c r="E42" s="37"/>
      <c r="F42" s="37"/>
      <c r="G42" s="37"/>
      <c r="H42" s="37"/>
      <c r="I42" s="39"/>
      <c r="J42" s="95"/>
    </row>
    <row r="43" spans="1:10">
      <c r="A43" s="96" t="s">
        <v>105</v>
      </c>
      <c r="B43" s="97"/>
      <c r="C43" s="94"/>
      <c r="D43" s="87"/>
      <c r="E43" s="88"/>
      <c r="F43" s="88"/>
      <c r="G43" s="88"/>
      <c r="H43" s="88"/>
      <c r="I43" s="90"/>
      <c r="J43" s="98"/>
    </row>
    <row r="44" spans="1:10" ht="57">
      <c r="A44" s="62"/>
      <c r="B44" s="99"/>
      <c r="C44" s="43" t="s">
        <v>94</v>
      </c>
      <c r="D44" s="43" t="s">
        <v>106</v>
      </c>
      <c r="E44" s="45">
        <v>21.5</v>
      </c>
      <c r="F44" s="45">
        <v>0.38</v>
      </c>
      <c r="G44" s="44"/>
      <c r="H44" s="45" t="s">
        <v>84</v>
      </c>
      <c r="I44" s="43" t="s">
        <v>107</v>
      </c>
      <c r="J44" s="49">
        <f>E44*F44</f>
        <v>8.17</v>
      </c>
    </row>
    <row r="45" spans="1:10">
      <c r="A45" s="100"/>
      <c r="B45" s="101"/>
      <c r="C45" s="102"/>
      <c r="D45" s="101"/>
      <c r="E45" s="103"/>
      <c r="F45" s="103"/>
      <c r="G45" s="103"/>
      <c r="H45" s="103"/>
      <c r="I45" s="104" t="s">
        <v>89</v>
      </c>
      <c r="J45" s="105">
        <f>SUM(J44:J44)</f>
        <v>8.17</v>
      </c>
    </row>
    <row r="46" spans="1:10">
      <c r="A46" s="100"/>
      <c r="B46" s="106"/>
      <c r="C46" s="94"/>
      <c r="D46" s="106"/>
      <c r="E46" s="88"/>
      <c r="F46" s="88"/>
      <c r="G46" s="88"/>
      <c r="H46" s="88"/>
      <c r="I46" s="90"/>
      <c r="J46" s="107"/>
    </row>
    <row r="47" spans="1:10">
      <c r="A47" s="100"/>
      <c r="B47" s="106"/>
      <c r="C47" s="106"/>
      <c r="D47" s="106"/>
      <c r="E47" s="88"/>
      <c r="F47" s="88"/>
      <c r="G47" s="88"/>
      <c r="H47" s="88"/>
      <c r="I47" s="90"/>
      <c r="J47" s="107"/>
    </row>
    <row r="48" spans="1:10" ht="15.75">
      <c r="A48" s="108"/>
      <c r="B48" s="109"/>
      <c r="C48" s="109"/>
      <c r="D48" s="109"/>
      <c r="E48" s="110"/>
      <c r="F48" s="110"/>
      <c r="G48" s="110"/>
      <c r="H48" s="110"/>
      <c r="I48" s="111" t="s">
        <v>108</v>
      </c>
      <c r="J48" s="112">
        <f>SUM(J45,J41,J37,J30,J24)</f>
        <v>80.614000000000004</v>
      </c>
    </row>
    <row r="49" spans="1:10">
      <c r="A49" s="93"/>
      <c r="B49" s="58"/>
      <c r="C49" s="58"/>
      <c r="D49" s="58"/>
      <c r="E49" s="37"/>
      <c r="F49" s="37"/>
      <c r="G49" s="37"/>
      <c r="H49" s="37"/>
      <c r="I49" s="39"/>
      <c r="J49" s="40"/>
    </row>
    <row r="50" spans="1:10">
      <c r="A50" s="93"/>
      <c r="B50" s="58"/>
      <c r="C50" s="58"/>
      <c r="D50" s="58"/>
      <c r="E50" s="37"/>
      <c r="F50" s="37"/>
      <c r="G50" s="37"/>
      <c r="H50" s="37"/>
      <c r="I50" s="39"/>
      <c r="J50" s="40"/>
    </row>
    <row r="51" spans="1:10" ht="15.75" thickBot="1">
      <c r="A51" s="113"/>
      <c r="B51" s="114"/>
      <c r="C51" s="114"/>
      <c r="D51" s="114"/>
      <c r="E51" s="115"/>
      <c r="F51" s="115"/>
      <c r="G51" s="115"/>
      <c r="H51" s="115"/>
      <c r="I51" s="116"/>
      <c r="J51" s="117"/>
    </row>
  </sheetData>
  <mergeCells count="20"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  <mergeCell ref="E5:G5"/>
    <mergeCell ref="H5:J5"/>
    <mergeCell ref="A1:J1"/>
    <mergeCell ref="A2:I2"/>
    <mergeCell ref="E3:J3"/>
    <mergeCell ref="A4:D4"/>
    <mergeCell ref="E4:J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6</vt:i4>
      </vt:variant>
    </vt:vector>
  </HeadingPairs>
  <TitlesOfParts>
    <vt:vector size="16" baseType="lpstr">
      <vt:lpstr>BBD</vt:lpstr>
      <vt:lpstr>FACTURE</vt:lpstr>
      <vt:lpstr>Config</vt:lpstr>
      <vt:lpstr>SAV</vt:lpstr>
      <vt:lpstr>SAV TRANSPORT</vt:lpstr>
      <vt:lpstr>SAV_ADMIN</vt:lpstr>
      <vt:lpstr>ADHERENTS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2020-10-24T17:43:33Z</cp:lastPrinted>
  <dcterms:created xsi:type="dcterms:W3CDTF">2020-10-03T09:41:14Z</dcterms:created>
  <dcterms:modified xsi:type="dcterms:W3CDTF">2020-10-24T17:52:46Z</dcterms:modified>
</cp:coreProperties>
</file>