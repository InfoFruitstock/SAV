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 test git\"/>
    </mc:Choice>
  </mc:AlternateContent>
  <xr:revisionPtr revIDLastSave="0" documentId="13_ncr:1_{ABBB6ACA-DB94-4BD1-8DBC-038B23D52B9B}" xr6:coauthVersionLast="45" xr6:coauthVersionMax="45" xr10:uidLastSave="{00000000-0000-0000-0000-000000000000}"/>
  <bookViews>
    <workbookView xWindow="-120" yWindow="-120" windowWidth="29040" windowHeight="15990" activeTab="4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Feuil1" sheetId="19" r:id="rId5"/>
    <sheet name="SAV TRANSPORT" sheetId="11" r:id="rId6"/>
    <sheet name="SAV_ADMIN" sheetId="9" r:id="rId7"/>
    <sheet name="ADHERENTS" sheetId="18" r:id="rId8"/>
    <sheet name="BON_SAV" sheetId="17" r:id="rId9"/>
    <sheet name="RUFINO" sheetId="3" r:id="rId10"/>
    <sheet name="ARNOLD" sheetId="10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<sst xmlns="http://schemas.openxmlformats.org/spreadsheetml/2006/main" count="1786" uniqueCount="634">
  <si>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</si>
  <si>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</si>
  <si>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</si>
  <si>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</si>
  <si>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</si>
  <si>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</si>
  <si>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</si>
  <si>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</si>
  <si>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</si>
  <si>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</si>
  <si>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</si>
  <si>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</si>
  <si>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</si>
  <si>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</si>
  <si>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</si>
  <si>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</si>
  <si>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</si>
  <si>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</si>
  <si>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</si>
  <si>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</si>
  <si>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</si>
  <si>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</si>
  <si>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</si>
  <si>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</si>
  <si>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</si>
  <si>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</si>
  <si>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</si>
  <si>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</si>
  <si>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</si>
  <si>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</si>
  <si>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</si>
  <si>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</si>
  <si>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</si>
  <si>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</si>
  <si>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</si>
  <si>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</si>
  <si>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</si>
  <si>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</si>
  <si>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</si>
  <si>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</si>
  <si>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</si>
  <si>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</si>
  <si>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</si>
  <si>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</si>
  <si>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</si>
  <si>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</si>
  <si>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</si>
  <si>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</si>
  <si>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</si>
  <si>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</si>
  <si>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</si>
  <si>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</si>
  <si>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</si>
  <si>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</si>
  <si>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</si>
  <si>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</si>
  <si>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</si>
  <si>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</si>
  <si>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</si>
  <si>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</si>
  <si>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</si>
  <si>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</si>
  <si>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</si>
  <si>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</si>
  <si>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</si>
  <si>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</si>
  <si>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</si>
  <si>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</si>
  <si>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</si>
  <si>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</si>
  <si>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</si>
  <si>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</si>
  <si>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</si>
  <si>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</si>
  <si>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</si>
  <si>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</si>
  <si>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</si>
  <si>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</si>
  <si>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</si>
  <si>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</si>
  <si>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</si>
  <si>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</si>
  <si>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</si>
  <si>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</si>
  <si>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</si>
  <si>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</si>
  <si>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</si>
  <si>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</si>
  <si>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</si>
  <si>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</si>
  <si>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</si>
  <si>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</si>
  <si>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</si>
  <si>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</si>
  <si>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</si>
  <si>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</si>
  <si>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</si>
  <si>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</si>
  <si>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</si>
  <si>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</si>
  <si>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</si>
  <si>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</si>
  <si>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</si>
  <si>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</si>
  <si>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</si>
  <si>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</si>
  <si>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</si>
  <si>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</si>
  <si>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</si>
  <si>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</si>
  <si>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</si>
  <si>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</si>
  <si>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</si>
  <si>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</si>
  <si>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</si>
  <si>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</si>
  <si>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</si>
  <si>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</si>
  <si>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</si>
  <si>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</si>
  <si>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</si>
  <si>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</si>
  <si>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</si>
  <si>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</si>
  <si>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</si>
  <si>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</si>
  <si>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</si>
  <si>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</si>
  <si>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</si>
  <si>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</si>
  <si>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</si>
  <si>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</si>
  <si>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</si>
  <si>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</si>
  <si>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</si>
  <si>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</si>
  <si>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</si>
  <si>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</si>
  <si>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</si>
  <si>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</si>
  <si>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</si>
  <si>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</si>
  <si>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</si>
  <si>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</si>
  <si>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</si>
  <si>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</si>
  <si>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</si>
  <si>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</si>
  <si>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</si>
  <si>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</si>
  <si>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</si>
  <si>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</si>
  <si>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</si>
  <si>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</si>
  <si>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</si>
  <si>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</si>
  <si>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</si>
  <si>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</si>
  <si>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</si>
  <si>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</si>
  <si>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</si>
  <si>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</si>
  <si>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</si>
  <si>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</si>
  <si>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</si>
  <si>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</si>
  <si>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</si>
  <si>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</si>
  <si>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</si>
  <si>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</si>
  <si>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</si>
  <si>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</si>
  <si>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</si>
  <si>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</si>
  <si>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</si>
  <si>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</si>
  <si>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</si>
  <si>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</si>
  <si>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</si>
  <si>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</si>
  <si>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</si>
  <si>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</si>
  <si>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</si>
  <si>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</si>
  <si>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</si>
  <si>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</si>
  <si>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</si>
  <si>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</si>
  <si>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</si>
  <si>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</si>
  <si>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</si>
  <si>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</si>
  <si>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</si>
  <si>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</si>
  <si>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</si>
  <si>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</si>
  <si>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</si>
  <si>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</si>
  <si>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</si>
  <si>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</si>
  <si>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</si>
  <si>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</si>
  <si>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</si>
  <si>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</si>
  <si>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</si>
  <si>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</si>
  <si>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</si>
  <si>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</si>
  <si>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</si>
  <si>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</si>
  <si>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</si>
  <si>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</si>
  <si>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</si>
  <si>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</si>
  <si>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</si>
  <si>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</si>
  <si>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</si>
  <si>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</si>
  <si>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</si>
  <si>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</si>
  <si>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</si>
  <si>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</si>
  <si>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</si>
  <si>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</si>
  <si>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</si>
  <si>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</si>
  <si>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</si>
  <si>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</si>
  <si>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</si>
  <si>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</si>
  <si>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</si>
  <si>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</si>
  <si>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</si>
  <si>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</si>
  <si>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</si>
  <si>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</si>
  <si>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</si>
  <si>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</si>
  <si>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</si>
  <si>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</si>
  <si>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</si>
  <si>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</si>
  <si>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</si>
  <si>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</si>
  <si>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</si>
  <si>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</si>
  <si>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</si>
  <si>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</si>
  <si>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</si>
  <si>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</si>
  <si>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</si>
  <si>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</si>
  <si>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</si>
  <si>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</si>
  <si>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</si>
  <si>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</si>
  <si>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</si>
  <si>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</si>
  <si>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</si>
  <si>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</si>
  <si>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</si>
  <si>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</si>
  <si>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</si>
  <si>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</si>
  <si>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</si>
  <si>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</si>
  <si>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</si>
  <si>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</si>
  <si>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</si>
  <si>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</si>
  <si>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</si>
  <si>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</si>
  <si>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</si>
  <si>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</si>
  <si>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</si>
  <si>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</si>
  <si>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</si>
  <si>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</si>
  <si>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</si>
  <si>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</si>
  <si>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</si>
  <si>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</si>
  <si>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</si>
  <si>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</si>
  <si>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</si>
  <si>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</si>
  <si>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</si>
  <si>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</si>
  <si>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</si>
  <si>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</si>
  <si>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</si>
  <si>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</si>
  <si>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</si>
  <si>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</si>
  <si>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</si>
  <si>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</si>
  <si>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</si>
  <si>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</si>
  <si>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</si>
  <si>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</si>
  <si>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</si>
  <si>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</si>
  <si>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</si>
  <si>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</si>
  <si>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</si>
  <si>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</si>
  <si>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</si>
  <si>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</si>
  <si>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</si>
  <si>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</si>
  <si>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</si>
  <si>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</si>
  <si>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</si>
  <si>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</si>
  <si>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</si>
  <si>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</si>
  <si>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</si>
  <si>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</si>
  <si>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</si>
  <si>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</si>
  <si>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</si>
  <si>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</si>
  <si>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</si>
  <si>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</si>
  <si>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</si>
  <si>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</si>
  <si>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</si>
  <si>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</si>
  <si>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</si>
  <si>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</si>
  <si>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</si>
  <si>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</si>
  <si>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</si>
  <si>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</si>
  <si>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</si>
  <si>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</si>
  <si>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</si>
  <si>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</si>
  <si>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</si>
  <si>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</si>
  <si>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</si>
  <si>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</si>
  <si>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</si>
  <si>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</si>
  <si>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</si>
  <si>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</si>
  <si>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</si>
  <si>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</si>
  <si>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</si>
  <si>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</si>
  <si>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</si>
  <si>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</si>
  <si>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</si>
  <si>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</si>
  <si>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</si>
  <si>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</si>
  <si>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</si>
  <si>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</si>
  <si>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</si>
  <si>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</si>
  <si>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</si>
  <si>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</si>
  <si>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</si>
  <si>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</si>
  <si>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</si>
  <si>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</si>
  <si>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</si>
  <si>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</si>
  <si>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</si>
  <si>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</si>
  <si>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</si>
  <si>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</si>
  <si>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</si>
  <si>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</si>
  <si>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</si>
  <si>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</si>
  <si>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</si>
  <si>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</si>
  <si>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</si>
  <si>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</si>
  <si>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</si>
  <si>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</si>
  <si>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</si>
  <si>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</si>
  <si>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</si>
  <si>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</si>
  <si>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</si>
  <si>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</si>
  <si>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</si>
  <si>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</si>
  <si>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</si>
  <si>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</si>
  <si>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</si>
  <si>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</si>
  <si>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</si>
  <si>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</si>
  <si>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</si>
  <si>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</si>
  <si>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</si>
  <si>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</si>
  <si>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</si>
  <si>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</si>
  <si>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</si>
  <si>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</si>
  <si>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</si>
  <si>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</si>
  <si>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</si>
  <si>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</si>
  <si>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</si>
  <si>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</si>
  <si>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</si>
  <si>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</si>
  <si>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</si>
  <si>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</si>
  <si>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</si>
  <si>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</si>
  <si>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</si>
  <si>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</si>
  <si>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</si>
  <si>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</si>
  <si>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</si>
  <si>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</si>
  <si>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</si>
  <si>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</si>
  <si>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</si>
  <si>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</si>
  <si>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</si>
  <si>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</si>
  <si>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</si>
  <si>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</si>
  <si>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</si>
  <si>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</si>
  <si>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</si>
  <si>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</si>
  <si>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</si>
  <si>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</si>
  <si>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</si>
  <si>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</si>
  <si>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</si>
  <si>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</si>
  <si>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</si>
  <si>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</si>
  <si>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</si>
  <si>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</si>
  <si>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</si>
  <si>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</si>
  <si>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</si>
  <si>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</si>
  <si>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</si>
  <si>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</si>
  <si>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</si>
  <si>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</si>
  <si>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</si>
  <si>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</si>
  <si>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</si>
  <si>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</si>
  <si>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</si>
  <si>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</si>
  <si>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</si>
  <si>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</si>
  <si>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</si>
  <si>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</si>
  <si>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</si>
  <si>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</si>
  <si>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</si>
  <si>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</si>
  <si>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</si>
  <si>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</si>
  <si>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</si>
  <si>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</si>
  <si>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</si>
  <si>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</si>
  <si>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</si>
  <si>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</si>
  <si>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</si>
  <si>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</si>
  <si>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</si>
  <si>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</si>
  <si>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</si>
  <si>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</si>
  <si>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</si>
  <si>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</si>
  <si>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</si>
  <si>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</si>
  <si>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</si>
  <si>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</si>
  <si>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</si>
  <si>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</si>
  <si>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</si>
  <si>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</si>
  <si>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</si>
  <si>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</si>
  <si>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</si>
  <si>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</si>
  <si>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</si>
  <si>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</si>
  <si>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</si>
  <si>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</si>
  <si>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</si>
  <si>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</si>
  <si>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</si>
  <si>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</si>
  <si>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</si>
  <si>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</si>
  <si>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</si>
  <si>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</si>
  <si>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</si>
  <si>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</si>
  <si>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</si>
  <si>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</si>
  <si>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</si>
  <si>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</si>
  <si>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</si>
  <si>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</si>
  <si>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</si>
  <si>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</si>
  <si>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</si>
  <si>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</si>
  <si>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</si>
  <si>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</si>
  <si>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</si>
  <si>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</si>
  <si>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</si>
  <si>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</si>
  <si>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</si>
  <si>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</si>
  <si>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</si>
  <si>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</si>
  <si>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</si>
  <si>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</si>
  <si>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</si>
  <si>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</si>
  <si>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</si>
  <si>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</si>
  <si>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</si>
  <si>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</si>
  <si>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</si>
  <si>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</si>
  <si>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</si>
  <si>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</si>
  <si>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</si>
  <si>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</si>
  <si>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</si>
  <si>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</si>
  <si>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</si>
  <si>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</si>
  <si>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</si>
  <si>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</si>
  <si>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</si>
  <si>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</si>
  <si>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</si>
  <si>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</si>
  <si>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</si>
  <si>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</si>
  <si>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</si>
  <si>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</si>
  <si>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</si>
  <si>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</si>
  <si>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</si>
  <si>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</si>
  <si>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</si>
  <si>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</si>
  <si>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</si>
  <si>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</si>
  <si>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</si>
  <si>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</si>
  <si>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</si>
  <si>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</si>
  <si>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</si>
  <si>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</si>
  <si>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</si>
  <si>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</si>
  <si>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</si>
  <si>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</si>
  <si>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</si>
  <si>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</si>
  <si>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</si>
  <si>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</si>
  <si>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</si>
  <si>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</si>
  <si>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</si>
  <si>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</si>
  <si>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</si>
  <si>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</si>
  <si>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</si>
  <si>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</si>
  <si>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</si>
  <si>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</si>
  <si>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</si>
  <si>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</si>
  <si>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</si>
  <si>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</si>
  <si>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</si>
  <si>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</si>
  <si>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</si>
  <si>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</si>
  <si>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</si>
  <si>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</si>
  <si>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</si>
  <si>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</si>
  <si>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</si>
  <si>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</si>
  <si>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</si>
  <si>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</si>
  <si>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</si>
  <si>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</si>
  <si>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</si>
  <si>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</si>
  <si>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</si>
  <si>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</si>
  <si>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</si>
  <si>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</si>
  <si>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</si>
  <si>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</si>
  <si>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</si>
  <si>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</si>
  <si>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</si>
  <si>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</si>
  <si>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</si>
  <si>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</si>
  <si>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</si>
  <si>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</si>
  <si>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</si>
  <si>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</si>
  <si>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</si>
  <si>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</si>
  <si>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</si>
  <si>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</si>
  <si>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</si>
  <si>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</si>
  <si>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Autre</t>
  </si>
  <si>
    <t>Otro</t>
  </si>
  <si>
    <t>C:\Users\Antho\Desktop\SAV test git\SAV_membre.xlsm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</si>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</sst>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7" fontId="37" fillId="0" borderId="0" xfId="4" applyNumberFormat="1" applyFont="1" applyFill="1" applyBorder="1" applyAlignment="1">
      <alignment horizontal="center" vertical="center" wrapText="1"/>
    </xf>
    <xf numFmtId="0" fontId="33" fillId="1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0" fillId="13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2"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</xdr:row>
          <xdr:rowOff>57150</xdr:rowOff>
        </xdr:from>
        <xdr:to>
          <xdr:col>12</xdr:col>
          <xdr:colOff>504825</xdr:colOff>
          <xdr:row>7</xdr:row>
          <xdr:rowOff>180975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9</xdr:row>
          <xdr:rowOff>95250</xdr:rowOff>
        </xdr:from>
        <xdr:to>
          <xdr:col>12</xdr:col>
          <xdr:colOff>552450</xdr:colOff>
          <xdr:row>12</xdr:row>
          <xdr:rowOff>142875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171450</xdr:colOff>
          <xdr:row>4</xdr:row>
          <xdr:rowOff>152400</xdr:rowOff>
        </xdr:from>
        <xdr:to>
          <xdr:col>17</xdr:col>
          <xdr:colOff>57150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161925</xdr:colOff>
          <xdr:row>9</xdr:row>
          <xdr:rowOff>133350</xdr:rowOff>
        </xdr:from>
        <xdr:to>
          <xdr:col>17</xdr:col>
          <xdr:colOff>47625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16</xdr:row>
          <xdr:rowOff>19050</xdr:rowOff>
        </xdr:from>
        <xdr:to>
          <xdr:col>17</xdr:col>
          <xdr:colOff>57150</xdr:colOff>
          <xdr:row>19</xdr:row>
          <xdr:rowOff>123825</xdr:rowOff>
        </xdr:to>
        <xdr:sp macro="" textlink="">
          <xdr:nvSpPr>
            <xdr:cNvPr id="13317" name="CommandButton3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1" dataDxfId="60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9"/>
    <tableColumn id="2" xr3:uid="{79C0F8F2-19F7-4FE3-8EF4-0EA164562E4F}" name="DESIGNATION" dataDxfId="58"/>
    <tableColumn id="3" xr3:uid="{791634A2-A0AF-4C3F-A30A-825BCA8B339C}" name="ORIGINE" dataDxfId="57"/>
    <tableColumn id="4" xr3:uid="{304AF527-86D2-4CF7-98BC-C88204C4110A}" name="PRODUCTO" dataDxfId="56"/>
    <tableColumn id="5" xr3:uid="{D3266655-BA91-4F92-9912-3D4DDF5DEB4F}" name="ORIGEN" dataDxfId="55"/>
    <tableColumn id="14" xr3:uid="{6030AB86-FDB6-4B71-A0F4-FE59C5B62485}" name="INFO" dataDxfId="54"/>
    <tableColumn id="6" xr3:uid="{0E5C1DEA-0939-4792-8B37-94866D0EAF30}" name="PRIX_x000a_(sans FDP)" dataDxfId="53"/>
    <tableColumn id="9" xr3:uid="{F9860875-4235-4962-AAE7-EB970D38F5DB}" name="UNITÉ" dataDxfId="52" dataCellStyle="Euro"/>
    <tableColumn id="10" xr3:uid="{85F486C1-0597-4DC9-8C11-4CE768E772CC}" name="10kg" dataDxfId="51"/>
    <tableColumn id="11" xr3:uid="{C11198F1-154B-4D84-AFAB-E94505E7C5DF}" name="30kg" dataDxfId="50"/>
    <tableColumn id="16" xr3:uid="{3E113CA0-D6EC-49B5-86B0-58BF3577B0C7}" name="60kg" dataDxfId="49"/>
    <tableColumn id="7" xr3:uid="{16A23538-3B7E-47BF-9AD3-C220896082A8}" name="5kg_x000a_Min" dataDxfId="48"/>
    <tableColumn id="8" xr3:uid="{213E28D3-3081-4A9B-AABA-ADED369F93B7}" name="Colonne1" dataDxfId="47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6" dataDxfId="45" tableBorderDxfId="44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3"/>
    <tableColumn id="13" xr3:uid="{2E881B10-CDCF-4241-A3A4-ABC917F942FA}" name="Id" dataDxfId="42">
      <calculatedColumnFormula>CELL("ligne",C17)</calculatedColumnFormula>
    </tableColumn>
    <tableColumn id="2" xr3:uid="{71E84DFA-5F71-48D5-B5AE-CE8ED299EB24}" name="Code" dataDxfId="41"/>
    <tableColumn id="3" xr3:uid="{13613131-9551-4328-90BE-188E619E38C5}" name="Designation" dataDxfId="40"/>
    <tableColumn id="4" xr3:uid="{2CF57491-650F-430B-8CA4-B05F799A0782}" name="Qté" dataDxfId="39"/>
    <tableColumn id="5" xr3:uid="{BBF0133A-C9D4-4CD4-98FB-6F0D2CAE6E6B}" name="Unité" dataDxfId="38"/>
    <tableColumn id="6" xr3:uid="{F4A947C4-89D8-4398-A083-3F05CFA31F7A}" name="Cause" dataDxfId="37"/>
    <tableColumn id="7" xr3:uid="{A35DD11A-DC3E-4B49-B861-959CFE871259}" name="Commentaires" dataDxfId="36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3:J5" totalsRowShown="0">
  <autoFilter ref="B3:J5" xr:uid="{29735CBC-4A44-461C-8BBD-E099AF7A7628}"/>
  <tableColumns count="9">
    <tableColumn id="1" xr3:uid="{B376FB57-41B7-41DF-B726-B3CBD8490EC1}" name="Adhérents"/>
    <tableColumn id="2" xr3:uid="{7254325C-E5ED-4A3F-B0D4-4A716AF28498}" name="Code" dataDxfId="35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4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totalsRowShown="0">
  <autoFilter ref="B3:P4" xr:uid="{2F6B722E-7642-4F9F-8591-FABD599D3899}"/>
  <tableColumns count="15">
    <tableColumn id="1" xr3:uid="{5E46DEED-DC77-46BD-B637-C98A405670D6}" name="ID" dataDxfId="32"/>
    <tableColumn id="2" xr3:uid="{8DFC754C-6CDD-4E80-90EA-B3E7E18B4A3F}" name="Groupe" dataDxfId="31"/>
    <tableColumn id="3" xr3:uid="{618B2832-B035-46DE-8B6B-E3F739882344}" name="Nom" dataDxfId="30"/>
    <tableColumn id="4" xr3:uid="{ED01026A-D995-4823-B05B-707BCC7D32DA}" name="Prénom" dataDxfId="29"/>
    <tableColumn id="5" xr3:uid="{1EF478E4-D45A-4DC0-893D-ED1065344A0B}" name="Adresse" dataDxfId="28"/>
    <tableColumn id="6" xr3:uid="{1C414D51-A3B1-440A-A4B3-46CEBA033171}" name="Complément" dataDxfId="27"/>
    <tableColumn id="7" xr3:uid="{6FE27231-B300-4533-B60B-00A80D833318}" name="Code Postal" dataDxfId="26"/>
    <tableColumn id="8" xr3:uid="{4BCB210A-527B-4D2A-B453-0FBAB0092EED}" name="Ville" dataDxfId="25"/>
    <tableColumn id="9" xr3:uid="{B40D9E1C-C9F4-4237-9A17-5D3B7C2409AA}" name="Téléphone" dataDxfId="24"/>
    <tableColumn id="10" xr3:uid="{94189408-EF41-487C-B363-9587E84551F1}" name="Email" dataDxfId="23"/>
    <tableColumn id="11" xr3:uid="{764EB7C1-CE48-4594-A554-B68AE9478C43}" name="Date" dataDxfId="22"/>
    <tableColumn id="12" xr3:uid="{35A7225E-7301-4F26-99EB-5199BB11E4EE}" name="Ville2" dataDxfId="21"/>
    <tableColumn id="13" xr3:uid="{6684DFA4-19BF-4B75-8BD0-AF8C9F5810D6}" name="Code Postal3" dataDxfId="20"/>
    <tableColumn id="14" xr3:uid="{65F0D2F0-CDD8-4808-923F-E7927C362E97}" name="Prénom NOM" dataDxfId="19"/>
    <tableColumn id="15" xr3:uid="{E7464922-2589-424C-B3A9-6BC29EA7B8DB}" name="Prénom NOM4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7" dataDxfId="16" tableBorderDxfId="15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4"/>
    <tableColumn id="2" xr3:uid="{477EB059-8388-4060-83C3-F27821E44273}" name="Designation" dataDxfId="13"/>
    <tableColumn id="3" xr3:uid="{A7515F3A-933D-48E9-A3C4-5DC877C7282F}" name="Qté" dataDxfId="12"/>
    <tableColumn id="4" xr3:uid="{23535833-97E1-4A28-92B6-7D2DC59018BF}" name="Unité" dataDxfId="11"/>
    <tableColumn id="9" xr3:uid="{FF7D90B4-0EBD-48B5-80B0-C32A6F259197}" name="€/Kg" dataDxfId="10" dataCellStyle="Monétaire"/>
    <tableColumn id="5" xr3:uid="{2BE2B6DE-FEFB-4DE7-81A2-9A2926F1A35B}" name="Cause" dataDxfId="9"/>
    <tableColumn id="6" xr3:uid="{78C02F95-5F3B-4E3A-9ED8-94BAB9AF9DD1}" name="Avoir" dataDxfId="8"/>
    <tableColumn id="7" xr3:uid="{0C811301-9E4C-43C2-8BB1-1E190A93FF4E}" name="Commentaires" dataDxfId="7"/>
    <tableColumn id="8" xr3:uid="{43E395EC-14E1-4060-94B9-FB0DBBA8A208}" name="A Rembourser" dataDxfId="6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5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4">
      <calculatedColumnFormula>VLOOKUP(Tableau7[[#This Row],[Unité]],Config!$B$6:$C$12,2,FALSE)</calculatedColumnFormula>
    </tableColumn>
    <tableColumn id="8" xr3:uid="{95E24946-E409-4E1F-AC3D-1D2185A2A03D}" name="Causa" dataDxfId="3">
      <calculatedColumnFormula>VLOOKUP(Tableau7[[#This Row],[Cause]],Config!$B$1:$C$4,2,FALSE)</calculatedColumnFormula>
    </tableColumn>
    <tableColumn id="9" xr3:uid="{6126BD0C-9AA5-4CAD-B444-4118C3EA0A5E}" name="ID_regrouper" dataDxfId="2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4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10" Type="http://schemas.openxmlformats.org/officeDocument/2006/relationships/table" Target="../tables/table6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138</v>
      </c>
      <c r="C2" s="3" t="s">
        <v>139</v>
      </c>
      <c r="D2" s="4" t="s">
        <v>140</v>
      </c>
      <c r="E2" s="3" t="s">
        <v>141</v>
      </c>
      <c r="F2" s="5"/>
      <c r="G2" s="6">
        <v>30.11</v>
      </c>
      <c r="H2" s="7" t="s">
        <v>14</v>
      </c>
      <c r="I2" s="1" t="s">
        <v>142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143</v>
      </c>
      <c r="C3" s="3" t="s">
        <v>144</v>
      </c>
      <c r="D3" s="4" t="s">
        <v>145</v>
      </c>
      <c r="E3" s="3" t="s">
        <v>146</v>
      </c>
      <c r="F3" s="5"/>
      <c r="G3" s="6">
        <v>8.19</v>
      </c>
      <c r="H3" s="7" t="s">
        <v>15</v>
      </c>
      <c r="I3" s="1" t="s">
        <v>142</v>
      </c>
      <c r="J3" s="1"/>
      <c r="K3" s="1"/>
      <c r="L3" s="1" t="s">
        <v>142</v>
      </c>
      <c r="M3" s="10">
        <f>Tableau3[[#This Row],[CODE]]</f>
        <v>1312</v>
      </c>
    </row>
    <row r="4" spans="1:13">
      <c r="A4" s="3">
        <v>1497</v>
      </c>
      <c r="B4" s="9" t="s">
        <v>147</v>
      </c>
      <c r="C4" s="3" t="s">
        <v>148</v>
      </c>
      <c r="D4" s="4" t="s">
        <v>149</v>
      </c>
      <c r="E4" s="3" t="s">
        <v>150</v>
      </c>
      <c r="F4" s="5" t="s">
        <v>151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152</v>
      </c>
      <c r="C5" s="3" t="s">
        <v>148</v>
      </c>
      <c r="D5" s="4" t="s">
        <v>153</v>
      </c>
      <c r="E5" s="3" t="s">
        <v>150</v>
      </c>
      <c r="F5" s="5" t="s">
        <v>151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154</v>
      </c>
      <c r="C6" s="3" t="s">
        <v>155</v>
      </c>
      <c r="D6" s="4" t="s">
        <v>156</v>
      </c>
      <c r="E6" s="3" t="s">
        <v>155</v>
      </c>
      <c r="F6" s="5" t="s">
        <v>151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157</v>
      </c>
      <c r="C7" s="3" t="s">
        <v>155</v>
      </c>
      <c r="D7" s="4" t="s">
        <v>158</v>
      </c>
      <c r="E7" s="3" t="s">
        <v>155</v>
      </c>
      <c r="F7" s="5" t="s">
        <v>151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159</v>
      </c>
      <c r="C8" s="3" t="s">
        <v>160</v>
      </c>
      <c r="D8" s="4" t="s">
        <v>161</v>
      </c>
      <c r="E8" s="3" t="s">
        <v>162</v>
      </c>
      <c r="F8" s="5" t="s">
        <v>151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163</v>
      </c>
      <c r="C9" s="3" t="s">
        <v>160</v>
      </c>
      <c r="D9" s="4" t="s">
        <v>164</v>
      </c>
      <c r="E9" s="3" t="s">
        <v>162</v>
      </c>
      <c r="F9" s="5" t="s">
        <v>151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165</v>
      </c>
      <c r="C10" s="3" t="s">
        <v>160</v>
      </c>
      <c r="D10" s="4" t="s">
        <v>161</v>
      </c>
      <c r="E10" s="3" t="s">
        <v>162</v>
      </c>
      <c r="F10" s="5" t="s">
        <v>151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166</v>
      </c>
      <c r="C11" s="3" t="s">
        <v>160</v>
      </c>
      <c r="D11" s="4" t="s">
        <v>167</v>
      </c>
      <c r="E11" s="3" t="s">
        <v>162</v>
      </c>
      <c r="F11" s="5" t="s">
        <v>151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168</v>
      </c>
      <c r="C12" s="3" t="s">
        <v>169</v>
      </c>
      <c r="D12" s="4" t="s">
        <v>170</v>
      </c>
      <c r="E12" s="3" t="s">
        <v>146</v>
      </c>
      <c r="F12" s="5" t="s">
        <v>151</v>
      </c>
      <c r="G12" s="6">
        <v>3.55</v>
      </c>
      <c r="H12" s="7" t="s">
        <v>14</v>
      </c>
      <c r="I12" s="1" t="s">
        <v>142</v>
      </c>
      <c r="J12" s="1" t="s">
        <v>142</v>
      </c>
      <c r="K12" s="1" t="s">
        <v>142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171</v>
      </c>
      <c r="C13" s="3" t="s">
        <v>172</v>
      </c>
      <c r="D13" s="4" t="s">
        <v>173</v>
      </c>
      <c r="E13" s="3" t="s">
        <v>174</v>
      </c>
      <c r="F13" s="5" t="s">
        <v>151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175</v>
      </c>
      <c r="C14" s="3" t="s">
        <v>172</v>
      </c>
      <c r="D14" s="4" t="s">
        <v>176</v>
      </c>
      <c r="E14" s="3" t="s">
        <v>174</v>
      </c>
      <c r="F14" s="5" t="s">
        <v>151</v>
      </c>
      <c r="G14" s="6">
        <v>3.41</v>
      </c>
      <c r="H14" s="7" t="s">
        <v>15</v>
      </c>
      <c r="I14" s="1" t="s">
        <v>142</v>
      </c>
      <c r="J14" s="1" t="s">
        <v>142</v>
      </c>
      <c r="K14" s="1" t="s">
        <v>142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177</v>
      </c>
      <c r="C15" s="3" t="s">
        <v>172</v>
      </c>
      <c r="D15" s="4" t="s">
        <v>178</v>
      </c>
      <c r="E15" s="3" t="s">
        <v>174</v>
      </c>
      <c r="F15" s="5" t="s">
        <v>151</v>
      </c>
      <c r="G15" s="6">
        <v>24.63</v>
      </c>
      <c r="H15" s="7" t="s">
        <v>14</v>
      </c>
      <c r="I15" s="1" t="s">
        <v>142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179</v>
      </c>
      <c r="C16" s="3" t="s">
        <v>180</v>
      </c>
      <c r="D16" s="4" t="s">
        <v>181</v>
      </c>
      <c r="E16" s="3" t="s">
        <v>180</v>
      </c>
      <c r="F16" s="5" t="s">
        <v>151</v>
      </c>
      <c r="G16" s="6">
        <v>4.37</v>
      </c>
      <c r="H16" s="7" t="s">
        <v>15</v>
      </c>
      <c r="I16" s="1" t="s">
        <v>142</v>
      </c>
      <c r="J16" s="1" t="s">
        <v>142</v>
      </c>
      <c r="K16" s="1"/>
      <c r="L16" s="1" t="s">
        <v>142</v>
      </c>
      <c r="M16" s="10">
        <f>Tableau3[[#This Row],[CODE]]</f>
        <v>3020</v>
      </c>
    </row>
    <row r="17" spans="1:13">
      <c r="A17" s="3">
        <v>1338</v>
      </c>
      <c r="B17" s="9" t="s">
        <v>182</v>
      </c>
      <c r="C17" s="3" t="s">
        <v>180</v>
      </c>
      <c r="D17" s="4" t="s">
        <v>183</v>
      </c>
      <c r="E17" s="3" t="s">
        <v>180</v>
      </c>
      <c r="F17" s="5" t="s">
        <v>151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184</v>
      </c>
      <c r="C18" s="3" t="s">
        <v>185</v>
      </c>
      <c r="D18" s="4" t="s">
        <v>186</v>
      </c>
      <c r="E18" s="3" t="s">
        <v>187</v>
      </c>
      <c r="F18" s="5" t="s">
        <v>151</v>
      </c>
      <c r="G18" s="6">
        <v>4.37</v>
      </c>
      <c r="H18" s="7" t="s">
        <v>15</v>
      </c>
      <c r="I18" s="1" t="s">
        <v>142</v>
      </c>
      <c r="J18" s="1" t="s">
        <v>142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188</v>
      </c>
      <c r="C19" s="3" t="s">
        <v>185</v>
      </c>
      <c r="D19" s="4" t="s">
        <v>189</v>
      </c>
      <c r="E19" s="3" t="s">
        <v>187</v>
      </c>
      <c r="F19" s="5" t="s">
        <v>151</v>
      </c>
      <c r="G19" s="6">
        <v>7.52</v>
      </c>
      <c r="H19" s="7" t="s">
        <v>15</v>
      </c>
      <c r="I19" s="1" t="s">
        <v>142</v>
      </c>
      <c r="J19" s="1" t="s">
        <v>142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190</v>
      </c>
      <c r="C20" s="3" t="s">
        <v>172</v>
      </c>
      <c r="D20" s="4" t="s">
        <v>191</v>
      </c>
      <c r="E20" s="3" t="s">
        <v>174</v>
      </c>
      <c r="F20" s="5" t="s">
        <v>151</v>
      </c>
      <c r="G20" s="6">
        <v>5.88</v>
      </c>
      <c r="H20" s="7" t="s">
        <v>15</v>
      </c>
      <c r="I20" s="1" t="s">
        <v>142</v>
      </c>
      <c r="J20" s="1" t="s">
        <v>142</v>
      </c>
      <c r="K20" s="1"/>
      <c r="L20" s="1" t="s">
        <v>142</v>
      </c>
      <c r="M20" s="10">
        <f>Tableau3[[#This Row],[CODE]]</f>
        <v>3001</v>
      </c>
    </row>
    <row r="21" spans="1:13">
      <c r="A21" s="3">
        <v>1001</v>
      </c>
      <c r="B21" s="9" t="s">
        <v>192</v>
      </c>
      <c r="C21" s="3" t="s">
        <v>172</v>
      </c>
      <c r="D21" s="4" t="s">
        <v>193</v>
      </c>
      <c r="E21" s="3" t="s">
        <v>174</v>
      </c>
      <c r="F21" s="5"/>
      <c r="G21" s="6">
        <v>6.15</v>
      </c>
      <c r="H21" s="7" t="s">
        <v>15</v>
      </c>
      <c r="I21" s="1" t="s">
        <v>142</v>
      </c>
      <c r="J21" s="1" t="s">
        <v>142</v>
      </c>
      <c r="K21" s="1"/>
      <c r="L21" s="1" t="s">
        <v>142</v>
      </c>
      <c r="M21" s="10">
        <f>Tableau3[[#This Row],[CODE]]</f>
        <v>1001</v>
      </c>
    </row>
    <row r="22" spans="1:13" ht="22.5">
      <c r="A22" s="3">
        <v>3009</v>
      </c>
      <c r="B22" s="9" t="s">
        <v>194</v>
      </c>
      <c r="C22" s="3" t="s">
        <v>172</v>
      </c>
      <c r="D22" s="4" t="s">
        <v>195</v>
      </c>
      <c r="E22" s="3" t="s">
        <v>174</v>
      </c>
      <c r="F22" s="5"/>
      <c r="G22" s="6">
        <v>4.08</v>
      </c>
      <c r="H22" s="7" t="s">
        <v>15</v>
      </c>
      <c r="I22" s="1"/>
      <c r="J22" s="1"/>
      <c r="K22" s="1"/>
      <c r="L22" s="1" t="s">
        <v>196</v>
      </c>
      <c r="M22" s="10">
        <f>Tableau3[[#This Row],[CODE]]</f>
        <v>3009</v>
      </c>
    </row>
    <row r="23" spans="1:13" ht="22.5">
      <c r="A23" s="3">
        <v>3009</v>
      </c>
      <c r="B23" s="9" t="s">
        <v>197</v>
      </c>
      <c r="C23" s="3" t="s">
        <v>172</v>
      </c>
      <c r="D23" s="4" t="s">
        <v>198</v>
      </c>
      <c r="E23" s="3" t="s">
        <v>174</v>
      </c>
      <c r="F23" s="5" t="s">
        <v>151</v>
      </c>
      <c r="G23" s="6">
        <v>9.44</v>
      </c>
      <c r="H23" s="7" t="s">
        <v>15</v>
      </c>
      <c r="I23" s="1" t="s">
        <v>142</v>
      </c>
      <c r="J23" s="1" t="s">
        <v>142</v>
      </c>
      <c r="K23" s="1"/>
      <c r="L23" s="1" t="s">
        <v>142</v>
      </c>
      <c r="M23" s="10">
        <f>Tableau3[[#This Row],[CODE]]</f>
        <v>3009</v>
      </c>
    </row>
    <row r="24" spans="1:13" ht="33.75">
      <c r="A24" s="3" t="s">
        <v>199</v>
      </c>
      <c r="B24" s="9" t="s">
        <v>200</v>
      </c>
      <c r="C24" s="3" t="s">
        <v>172</v>
      </c>
      <c r="D24" s="4" t="s">
        <v>201</v>
      </c>
      <c r="E24" s="3" t="s">
        <v>174</v>
      </c>
      <c r="F24" s="5" t="s">
        <v>151</v>
      </c>
      <c r="G24" s="6">
        <v>9.99</v>
      </c>
      <c r="H24" s="7" t="s">
        <v>15</v>
      </c>
      <c r="I24" s="1" t="s">
        <v>142</v>
      </c>
      <c r="J24" s="1" t="s">
        <v>142</v>
      </c>
      <c r="K24" s="1"/>
      <c r="L24" s="1" t="s">
        <v>142</v>
      </c>
      <c r="M24" s="10" t="str">
        <f>Tableau3[[#This Row],[CODE]]</f>
        <v>3009.179</v>
      </c>
    </row>
    <row r="25" spans="1:13">
      <c r="A25" s="3">
        <v>1527</v>
      </c>
      <c r="B25" s="9" t="s">
        <v>202</v>
      </c>
      <c r="C25" s="3" t="s">
        <v>203</v>
      </c>
      <c r="D25" s="4" t="s">
        <v>204</v>
      </c>
      <c r="E25" s="3" t="s">
        <v>205</v>
      </c>
      <c r="F25" s="5" t="s">
        <v>151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206</v>
      </c>
      <c r="C26" s="3" t="s">
        <v>203</v>
      </c>
      <c r="D26" s="4" t="s">
        <v>207</v>
      </c>
      <c r="E26" s="3" t="s">
        <v>205</v>
      </c>
      <c r="F26" s="5" t="s">
        <v>151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208</v>
      </c>
      <c r="C27" s="3" t="s">
        <v>172</v>
      </c>
      <c r="D27" s="4" t="s">
        <v>209</v>
      </c>
      <c r="E27" s="3" t="s">
        <v>174</v>
      </c>
      <c r="F27" s="5" t="s">
        <v>151</v>
      </c>
      <c r="G27" s="6">
        <v>3.96</v>
      </c>
      <c r="H27" s="7" t="s">
        <v>15</v>
      </c>
      <c r="I27" s="1" t="s">
        <v>142</v>
      </c>
      <c r="J27" s="1" t="s">
        <v>142</v>
      </c>
      <c r="K27" s="1"/>
      <c r="L27" s="1" t="s">
        <v>142</v>
      </c>
      <c r="M27" s="10">
        <f>Tableau3[[#This Row],[CODE]]</f>
        <v>3007</v>
      </c>
    </row>
    <row r="28" spans="1:13">
      <c r="A28" s="3">
        <v>3033</v>
      </c>
      <c r="B28" s="9" t="s">
        <v>210</v>
      </c>
      <c r="C28" s="3" t="s">
        <v>172</v>
      </c>
      <c r="D28" s="4" t="s">
        <v>211</v>
      </c>
      <c r="E28" s="3" t="s">
        <v>174</v>
      </c>
      <c r="F28" s="5" t="s">
        <v>151</v>
      </c>
      <c r="G28" s="6">
        <v>3.82</v>
      </c>
      <c r="H28" s="7" t="s">
        <v>15</v>
      </c>
      <c r="I28" s="1" t="s">
        <v>142</v>
      </c>
      <c r="J28" s="1" t="s">
        <v>142</v>
      </c>
      <c r="K28" s="1" t="s">
        <v>142</v>
      </c>
      <c r="L28" s="1" t="s">
        <v>142</v>
      </c>
      <c r="M28" s="10">
        <f>Tableau3[[#This Row],[CODE]]</f>
        <v>3033</v>
      </c>
    </row>
    <row r="29" spans="1:13" ht="45">
      <c r="A29" s="3">
        <v>1487</v>
      </c>
      <c r="B29" s="9" t="s">
        <v>212</v>
      </c>
      <c r="C29" s="3" t="s">
        <v>172</v>
      </c>
      <c r="D29" s="4" t="s">
        <v>213</v>
      </c>
      <c r="E29" s="3" t="s">
        <v>174</v>
      </c>
      <c r="F29" s="5"/>
      <c r="G29" s="6">
        <v>4.08</v>
      </c>
      <c r="H29" s="7" t="s">
        <v>15</v>
      </c>
      <c r="I29" s="1" t="s">
        <v>142</v>
      </c>
      <c r="J29" s="1"/>
      <c r="K29" s="1"/>
      <c r="L29" s="1" t="s">
        <v>142</v>
      </c>
      <c r="M29" s="10">
        <f>Tableau3[[#This Row],[CODE]]</f>
        <v>1487</v>
      </c>
    </row>
    <row r="30" spans="1:13" ht="22.5">
      <c r="A30" s="3">
        <v>3746</v>
      </c>
      <c r="B30" s="9" t="s">
        <v>214</v>
      </c>
      <c r="C30" s="3" t="s">
        <v>172</v>
      </c>
      <c r="D30" s="4" t="s">
        <v>215</v>
      </c>
      <c r="E30" s="3" t="s">
        <v>174</v>
      </c>
      <c r="F30" s="5" t="s">
        <v>151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216</v>
      </c>
      <c r="B31" s="9" t="s">
        <v>217</v>
      </c>
      <c r="C31" s="3" t="s">
        <v>169</v>
      </c>
      <c r="D31" s="4" t="s">
        <v>218</v>
      </c>
      <c r="E31" s="3" t="s">
        <v>146</v>
      </c>
      <c r="F31" s="5"/>
      <c r="G31" s="6">
        <v>2.3199999999999998</v>
      </c>
      <c r="H31" s="7" t="s">
        <v>15</v>
      </c>
      <c r="I31" s="1" t="s">
        <v>142</v>
      </c>
      <c r="J31" s="1"/>
      <c r="K31" s="1"/>
      <c r="L31" s="1" t="s">
        <v>142</v>
      </c>
      <c r="M31" s="10" t="str">
        <f>Tableau3[[#This Row],[CODE]]</f>
        <v>1124-1275-1679</v>
      </c>
    </row>
    <row r="32" spans="1:13">
      <c r="A32" s="3">
        <v>1696</v>
      </c>
      <c r="B32" s="9" t="s">
        <v>219</v>
      </c>
      <c r="C32" s="3" t="s">
        <v>220</v>
      </c>
      <c r="D32" s="4" t="s">
        <v>221</v>
      </c>
      <c r="E32" s="3" t="s">
        <v>222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223</v>
      </c>
      <c r="C33" s="3" t="s">
        <v>220</v>
      </c>
      <c r="D33" s="4" t="s">
        <v>224</v>
      </c>
      <c r="E33" s="3" t="s">
        <v>222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225</v>
      </c>
      <c r="C34" s="3" t="s">
        <v>172</v>
      </c>
      <c r="D34" s="4" t="s">
        <v>226</v>
      </c>
      <c r="E34" s="3" t="s">
        <v>174</v>
      </c>
      <c r="F34" s="5"/>
      <c r="G34" s="6">
        <v>5.45</v>
      </c>
      <c r="H34" s="7" t="s">
        <v>15</v>
      </c>
      <c r="I34" s="1"/>
      <c r="J34" s="1"/>
      <c r="K34" s="1"/>
      <c r="L34" s="1" t="s">
        <v>196</v>
      </c>
      <c r="M34" s="10">
        <f>Tableau3[[#This Row],[CODE]]</f>
        <v>1257</v>
      </c>
    </row>
    <row r="35" spans="1:13" ht="22.5">
      <c r="A35" s="3">
        <v>1937</v>
      </c>
      <c r="B35" s="9" t="s">
        <v>227</v>
      </c>
      <c r="C35" s="3" t="s">
        <v>228</v>
      </c>
      <c r="D35" s="4" t="s">
        <v>229</v>
      </c>
      <c r="E35" s="3" t="s">
        <v>230</v>
      </c>
      <c r="F35" s="5" t="s">
        <v>151</v>
      </c>
      <c r="G35" s="6">
        <v>21.89</v>
      </c>
      <c r="H35" s="7" t="s">
        <v>14</v>
      </c>
      <c r="I35" s="1" t="s">
        <v>142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231</v>
      </c>
      <c r="C36" s="3" t="s">
        <v>228</v>
      </c>
      <c r="D36" s="4" t="s">
        <v>232</v>
      </c>
      <c r="E36" s="3" t="s">
        <v>230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233</v>
      </c>
      <c r="C37" s="3" t="s">
        <v>169</v>
      </c>
      <c r="D37" s="4" t="s">
        <v>234</v>
      </c>
      <c r="E37" s="3" t="s">
        <v>146</v>
      </c>
      <c r="F37" s="5" t="s">
        <v>151</v>
      </c>
      <c r="G37" s="6">
        <v>2.04</v>
      </c>
      <c r="H37" s="7" t="s">
        <v>15</v>
      </c>
      <c r="I37" s="1" t="s">
        <v>142</v>
      </c>
      <c r="J37" s="1" t="s">
        <v>142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235</v>
      </c>
      <c r="C38" s="3" t="s">
        <v>172</v>
      </c>
      <c r="D38" s="4" t="s">
        <v>236</v>
      </c>
      <c r="E38" s="3" t="s">
        <v>174</v>
      </c>
      <c r="F38" s="5"/>
      <c r="G38" s="6">
        <v>4.92</v>
      </c>
      <c r="H38" s="7" t="s">
        <v>15</v>
      </c>
      <c r="I38" s="1" t="s">
        <v>142</v>
      </c>
      <c r="J38" s="1"/>
      <c r="K38" s="1"/>
      <c r="L38" s="1" t="s">
        <v>142</v>
      </c>
      <c r="M38" s="10">
        <f>Tableau3[[#This Row],[CODE]]</f>
        <v>3210</v>
      </c>
    </row>
    <row r="39" spans="1:13">
      <c r="A39" s="3">
        <v>5075</v>
      </c>
      <c r="B39" s="9" t="s">
        <v>237</v>
      </c>
      <c r="C39" s="3" t="s">
        <v>172</v>
      </c>
      <c r="D39" s="4" t="s">
        <v>238</v>
      </c>
      <c r="E39" s="3" t="s">
        <v>174</v>
      </c>
      <c r="F39" s="5"/>
      <c r="G39" s="6">
        <v>3.14</v>
      </c>
      <c r="H39" s="7" t="s">
        <v>15</v>
      </c>
      <c r="I39" s="1" t="s">
        <v>142</v>
      </c>
      <c r="J39" s="1"/>
      <c r="K39" s="1"/>
      <c r="L39" s="1" t="s">
        <v>142</v>
      </c>
      <c r="M39" s="10">
        <f>Tableau3[[#This Row],[CODE]]</f>
        <v>5075</v>
      </c>
    </row>
    <row r="40" spans="1:13">
      <c r="A40" s="3">
        <v>1034</v>
      </c>
      <c r="B40" s="9" t="s">
        <v>239</v>
      </c>
      <c r="C40" s="3" t="s">
        <v>169</v>
      </c>
      <c r="D40" s="4" t="s">
        <v>240</v>
      </c>
      <c r="E40" s="3" t="s">
        <v>169</v>
      </c>
      <c r="F40" s="5"/>
      <c r="G40" s="6">
        <v>2.4500000000000002</v>
      </c>
      <c r="H40" s="7" t="s">
        <v>15</v>
      </c>
      <c r="I40" s="1" t="s">
        <v>142</v>
      </c>
      <c r="J40" s="1" t="s">
        <v>142</v>
      </c>
      <c r="K40" s="1"/>
      <c r="L40" s="1" t="s">
        <v>142</v>
      </c>
      <c r="M40" s="10">
        <f>Tableau3[[#This Row],[CODE]]</f>
        <v>1034</v>
      </c>
    </row>
    <row r="41" spans="1:13">
      <c r="A41" s="3">
        <v>3017</v>
      </c>
      <c r="B41" s="9" t="s">
        <v>241</v>
      </c>
      <c r="C41" s="3" t="s">
        <v>172</v>
      </c>
      <c r="D41" s="4" t="s">
        <v>242</v>
      </c>
      <c r="E41" s="3" t="s">
        <v>174</v>
      </c>
      <c r="F41" s="5"/>
      <c r="G41" s="6">
        <v>1.9</v>
      </c>
      <c r="H41" s="8" t="s">
        <v>15</v>
      </c>
      <c r="I41" s="1" t="s">
        <v>142</v>
      </c>
      <c r="J41" s="1" t="s">
        <v>142</v>
      </c>
      <c r="K41" s="1" t="s">
        <v>142</v>
      </c>
      <c r="L41" s="1" t="s">
        <v>142</v>
      </c>
      <c r="M41" s="10">
        <f>Tableau3[[#This Row],[CODE]]</f>
        <v>3017</v>
      </c>
    </row>
    <row r="42" spans="1:13" ht="22.5">
      <c r="A42" s="3">
        <v>6117</v>
      </c>
      <c r="B42" s="9" t="s">
        <v>243</v>
      </c>
      <c r="C42" s="3" t="s">
        <v>172</v>
      </c>
      <c r="D42" s="4" t="s">
        <v>244</v>
      </c>
      <c r="E42" s="3" t="s">
        <v>174</v>
      </c>
      <c r="F42" s="5" t="s">
        <v>151</v>
      </c>
      <c r="G42" s="6">
        <v>2.3199999999999998</v>
      </c>
      <c r="H42" s="7" t="s">
        <v>15</v>
      </c>
      <c r="I42" s="1" t="s">
        <v>142</v>
      </c>
      <c r="J42" s="1" t="s">
        <v>142</v>
      </c>
      <c r="K42" s="1"/>
      <c r="L42" s="1" t="s">
        <v>142</v>
      </c>
      <c r="M42" s="10">
        <f>Tableau3[[#This Row],[CODE]]</f>
        <v>6117</v>
      </c>
    </row>
    <row r="43" spans="1:13">
      <c r="A43" s="3">
        <v>3023</v>
      </c>
      <c r="B43" s="9" t="s">
        <v>245</v>
      </c>
      <c r="C43" s="3" t="s">
        <v>172</v>
      </c>
      <c r="D43" s="4" t="s">
        <v>246</v>
      </c>
      <c r="E43" s="3" t="s">
        <v>174</v>
      </c>
      <c r="F43" s="5"/>
      <c r="G43" s="6">
        <v>2.71</v>
      </c>
      <c r="H43" s="7" t="s">
        <v>15</v>
      </c>
      <c r="I43" s="1" t="s">
        <v>142</v>
      </c>
      <c r="J43" s="1"/>
      <c r="K43" s="1"/>
      <c r="L43" s="1" t="s">
        <v>142</v>
      </c>
      <c r="M43" s="10">
        <f>Tableau3[[#This Row],[CODE]]</f>
        <v>3023</v>
      </c>
    </row>
    <row r="44" spans="1:13">
      <c r="A44" s="3">
        <v>1117</v>
      </c>
      <c r="B44" s="9" t="s">
        <v>247</v>
      </c>
      <c r="C44" s="3" t="s">
        <v>169</v>
      </c>
      <c r="D44" s="4" t="s">
        <v>248</v>
      </c>
      <c r="E44" s="3" t="s">
        <v>146</v>
      </c>
      <c r="F44" s="5"/>
      <c r="G44" s="6">
        <v>3.96</v>
      </c>
      <c r="H44" s="7" t="s">
        <v>15</v>
      </c>
      <c r="I44" s="1" t="s">
        <v>142</v>
      </c>
      <c r="J44" s="1" t="s">
        <v>142</v>
      </c>
      <c r="K44" s="1"/>
      <c r="L44" s="1" t="s">
        <v>142</v>
      </c>
      <c r="M44" s="10">
        <f>Tableau3[[#This Row],[CODE]]</f>
        <v>1117</v>
      </c>
    </row>
    <row r="45" spans="1:13">
      <c r="A45" s="3">
        <v>1572</v>
      </c>
      <c r="B45" s="9" t="s">
        <v>249</v>
      </c>
      <c r="C45" s="3" t="s">
        <v>250</v>
      </c>
      <c r="D45" s="4" t="s">
        <v>251</v>
      </c>
      <c r="E45" s="3" t="s">
        <v>252</v>
      </c>
      <c r="F45" s="5" t="s">
        <v>151</v>
      </c>
      <c r="G45" s="6">
        <v>7.93</v>
      </c>
      <c r="H45" s="7" t="s">
        <v>14</v>
      </c>
      <c r="I45" s="1" t="s">
        <v>142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253</v>
      </c>
      <c r="C46" s="3" t="s">
        <v>254</v>
      </c>
      <c r="D46" s="4" t="s">
        <v>255</v>
      </c>
      <c r="E46" s="3" t="s">
        <v>254</v>
      </c>
      <c r="F46" s="5" t="s">
        <v>151</v>
      </c>
      <c r="G46" s="6">
        <v>8.75</v>
      </c>
      <c r="H46" s="7" t="s">
        <v>14</v>
      </c>
      <c r="I46" s="1" t="s">
        <v>142</v>
      </c>
      <c r="J46" s="1" t="s">
        <v>142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256</v>
      </c>
      <c r="C47" s="3" t="s">
        <v>172</v>
      </c>
      <c r="D47" s="4" t="s">
        <v>257</v>
      </c>
      <c r="E47" s="3" t="s">
        <v>174</v>
      </c>
      <c r="F47" s="5"/>
      <c r="G47" s="6">
        <v>4.37</v>
      </c>
      <c r="H47" s="7" t="s">
        <v>15</v>
      </c>
      <c r="I47" s="1" t="s">
        <v>142</v>
      </c>
      <c r="J47" s="1" t="s">
        <v>142</v>
      </c>
      <c r="K47" s="1"/>
      <c r="L47" s="1" t="s">
        <v>142</v>
      </c>
      <c r="M47" s="10">
        <f>Tableau3[[#This Row],[CODE]]</f>
        <v>3032</v>
      </c>
    </row>
    <row r="48" spans="1:13" ht="22.5">
      <c r="A48" s="3">
        <v>2004</v>
      </c>
      <c r="B48" s="9" t="s">
        <v>258</v>
      </c>
      <c r="C48" s="3" t="s">
        <v>172</v>
      </c>
      <c r="D48" s="4" t="s">
        <v>259</v>
      </c>
      <c r="E48" s="3" t="s">
        <v>174</v>
      </c>
      <c r="F48" s="5"/>
      <c r="G48" s="6">
        <v>4.78</v>
      </c>
      <c r="H48" s="7" t="s">
        <v>15</v>
      </c>
      <c r="I48" s="1" t="s">
        <v>142</v>
      </c>
      <c r="J48" s="1" t="s">
        <v>142</v>
      </c>
      <c r="K48" s="1" t="s">
        <v>142</v>
      </c>
      <c r="L48" s="1" t="s">
        <v>142</v>
      </c>
      <c r="M48" s="10">
        <f>Tableau3[[#This Row],[CODE]]</f>
        <v>2004</v>
      </c>
    </row>
    <row r="49" spans="1:13">
      <c r="A49" s="3">
        <v>1006</v>
      </c>
      <c r="B49" s="9" t="s">
        <v>260</v>
      </c>
      <c r="C49" s="3" t="s">
        <v>169</v>
      </c>
      <c r="D49" s="4" t="s">
        <v>261</v>
      </c>
      <c r="E49" s="3" t="s">
        <v>146</v>
      </c>
      <c r="F49" s="5"/>
      <c r="G49" s="6">
        <v>3</v>
      </c>
      <c r="H49" s="7" t="s">
        <v>15</v>
      </c>
      <c r="I49" s="1" t="s">
        <v>142</v>
      </c>
      <c r="J49" s="1"/>
      <c r="K49" s="1"/>
      <c r="L49" s="1" t="s">
        <v>142</v>
      </c>
      <c r="M49" s="10">
        <f>Tableau3[[#This Row],[CODE]]</f>
        <v>1006</v>
      </c>
    </row>
    <row r="50" spans="1:13" ht="22.5">
      <c r="A50" s="3">
        <v>5037</v>
      </c>
      <c r="B50" s="9" t="s">
        <v>262</v>
      </c>
      <c r="C50" s="3" t="s">
        <v>263</v>
      </c>
      <c r="D50" s="4" t="s">
        <v>264</v>
      </c>
      <c r="E50" s="3" t="s">
        <v>180</v>
      </c>
      <c r="F50" s="5" t="s">
        <v>265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266</v>
      </c>
      <c r="C51" s="3" t="s">
        <v>263</v>
      </c>
      <c r="D51" s="4" t="s">
        <v>267</v>
      </c>
      <c r="E51" s="3" t="s">
        <v>180</v>
      </c>
      <c r="F51" s="5" t="s">
        <v>265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268</v>
      </c>
      <c r="C52" s="3" t="s">
        <v>172</v>
      </c>
      <c r="D52" s="4" t="s">
        <v>269</v>
      </c>
      <c r="E52" s="3" t="s">
        <v>174</v>
      </c>
      <c r="F52" s="5" t="s">
        <v>151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270</v>
      </c>
      <c r="C53" s="3" t="s">
        <v>172</v>
      </c>
      <c r="D53" s="4" t="s">
        <v>271</v>
      </c>
      <c r="E53" s="3" t="s">
        <v>174</v>
      </c>
      <c r="F53" s="5" t="s">
        <v>151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272</v>
      </c>
      <c r="C54" s="3" t="s">
        <v>172</v>
      </c>
      <c r="D54" s="4" t="s">
        <v>273</v>
      </c>
      <c r="E54" s="3" t="s">
        <v>174</v>
      </c>
      <c r="F54" s="5" t="s">
        <v>151</v>
      </c>
      <c r="G54" s="6">
        <v>2.71</v>
      </c>
      <c r="H54" s="7" t="s">
        <v>15</v>
      </c>
      <c r="I54" s="1" t="s">
        <v>142</v>
      </c>
      <c r="J54" s="1" t="s">
        <v>142</v>
      </c>
      <c r="K54" s="1" t="s">
        <v>142</v>
      </c>
      <c r="L54" s="1" t="s">
        <v>142</v>
      </c>
      <c r="M54" s="10">
        <f>Tableau3[[#This Row],[CODE]]</f>
        <v>3421</v>
      </c>
    </row>
    <row r="55" spans="1:13">
      <c r="A55" s="3">
        <v>6094</v>
      </c>
      <c r="B55" s="9" t="s">
        <v>274</v>
      </c>
      <c r="C55" s="3" t="s">
        <v>169</v>
      </c>
      <c r="D55" s="4" t="s">
        <v>275</v>
      </c>
      <c r="E55" s="3" t="s">
        <v>146</v>
      </c>
      <c r="F55" s="5"/>
      <c r="G55" s="6">
        <v>1.22</v>
      </c>
      <c r="H55" s="7" t="s">
        <v>15</v>
      </c>
      <c r="I55" s="1" t="s">
        <v>142</v>
      </c>
      <c r="J55" s="1" t="s">
        <v>142</v>
      </c>
      <c r="K55" s="1" t="s">
        <v>142</v>
      </c>
      <c r="L55" s="1" t="s">
        <v>142</v>
      </c>
      <c r="M55" s="10">
        <f>Tableau3[[#This Row],[CODE]]</f>
        <v>6094</v>
      </c>
    </row>
    <row r="56" spans="1:13">
      <c r="A56" s="3">
        <v>1023</v>
      </c>
      <c r="B56" s="9" t="s">
        <v>276</v>
      </c>
      <c r="C56" s="3" t="s">
        <v>169</v>
      </c>
      <c r="D56" s="4" t="s">
        <v>277</v>
      </c>
      <c r="E56" s="3" t="s">
        <v>146</v>
      </c>
      <c r="F56" s="5"/>
      <c r="G56" s="6">
        <v>3.14</v>
      </c>
      <c r="H56" s="7" t="s">
        <v>15</v>
      </c>
      <c r="I56" s="1" t="s">
        <v>142</v>
      </c>
      <c r="J56" s="1" t="s">
        <v>142</v>
      </c>
      <c r="K56" s="1" t="s">
        <v>142</v>
      </c>
      <c r="L56" s="1" t="s">
        <v>142</v>
      </c>
      <c r="M56" s="10">
        <f>Tableau3[[#This Row],[CODE]]</f>
        <v>1023</v>
      </c>
    </row>
    <row r="57" spans="1:13">
      <c r="A57" s="3">
        <v>3169</v>
      </c>
      <c r="B57" s="9" t="s">
        <v>278</v>
      </c>
      <c r="C57" s="3" t="s">
        <v>172</v>
      </c>
      <c r="D57" s="4" t="s">
        <v>279</v>
      </c>
      <c r="E57" s="3" t="s">
        <v>174</v>
      </c>
      <c r="F57" s="5" t="s">
        <v>151</v>
      </c>
      <c r="G57" s="6">
        <v>3.14</v>
      </c>
      <c r="H57" s="7" t="s">
        <v>15</v>
      </c>
      <c r="I57" s="1" t="s">
        <v>142</v>
      </c>
      <c r="J57" s="1" t="s">
        <v>142</v>
      </c>
      <c r="K57" s="1"/>
      <c r="L57" s="1" t="s">
        <v>142</v>
      </c>
      <c r="M57" s="10">
        <f>Tableau3[[#This Row],[CODE]]</f>
        <v>3169</v>
      </c>
    </row>
    <row r="58" spans="1:13" ht="22.5">
      <c r="A58" s="3">
        <v>1103</v>
      </c>
      <c r="B58" s="9" t="s">
        <v>280</v>
      </c>
      <c r="C58" s="3" t="s">
        <v>169</v>
      </c>
      <c r="D58" s="4" t="s">
        <v>281</v>
      </c>
      <c r="E58" s="3" t="s">
        <v>146</v>
      </c>
      <c r="F58" s="5" t="s">
        <v>151</v>
      </c>
      <c r="G58" s="6">
        <v>3.41</v>
      </c>
      <c r="H58" s="7" t="s">
        <v>15</v>
      </c>
      <c r="I58" s="1" t="s">
        <v>142</v>
      </c>
      <c r="J58" s="1" t="s">
        <v>142</v>
      </c>
      <c r="K58" s="1"/>
      <c r="L58" s="1" t="s">
        <v>142</v>
      </c>
      <c r="M58" s="10">
        <f>Tableau3[[#This Row],[CODE]]</f>
        <v>1103</v>
      </c>
    </row>
    <row r="59" spans="1:13" ht="22.5">
      <c r="A59" s="3">
        <v>3725</v>
      </c>
      <c r="B59" s="9" t="s">
        <v>282</v>
      </c>
      <c r="C59" s="3" t="s">
        <v>172</v>
      </c>
      <c r="D59" s="4" t="s">
        <v>283</v>
      </c>
      <c r="E59" s="3" t="s">
        <v>174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284</v>
      </c>
      <c r="C60" s="3" t="s">
        <v>285</v>
      </c>
      <c r="D60" s="4" t="s">
        <v>286</v>
      </c>
      <c r="E60" s="3" t="s">
        <v>287</v>
      </c>
      <c r="F60" s="5" t="s">
        <v>151</v>
      </c>
      <c r="G60" s="6">
        <v>4.51</v>
      </c>
      <c r="H60" s="7" t="s">
        <v>14</v>
      </c>
      <c r="I60" s="1" t="s">
        <v>142</v>
      </c>
      <c r="J60" s="1" t="s">
        <v>142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288</v>
      </c>
      <c r="C61" s="3" t="s">
        <v>172</v>
      </c>
      <c r="D61" s="4" t="s">
        <v>289</v>
      </c>
      <c r="E61" s="3" t="s">
        <v>174</v>
      </c>
      <c r="F61" s="5" t="s">
        <v>151</v>
      </c>
      <c r="G61" s="6">
        <v>2.71</v>
      </c>
      <c r="H61" s="7" t="s">
        <v>15</v>
      </c>
      <c r="I61" s="1" t="s">
        <v>142</v>
      </c>
      <c r="J61" s="1" t="s">
        <v>142</v>
      </c>
      <c r="K61" s="1"/>
      <c r="L61" s="1" t="s">
        <v>142</v>
      </c>
      <c r="M61" s="10">
        <f>Tableau3[[#This Row],[CODE]]</f>
        <v>3924</v>
      </c>
    </row>
    <row r="62" spans="1:13">
      <c r="A62" s="3">
        <v>6077</v>
      </c>
      <c r="B62" s="9" t="s">
        <v>290</v>
      </c>
      <c r="C62" s="3" t="s">
        <v>169</v>
      </c>
      <c r="D62" s="4" t="s">
        <v>291</v>
      </c>
      <c r="E62" s="3" t="s">
        <v>144</v>
      </c>
      <c r="F62" s="5"/>
      <c r="G62" s="6">
        <v>1.7</v>
      </c>
      <c r="H62" s="7" t="s">
        <v>15</v>
      </c>
      <c r="I62" s="1" t="s">
        <v>142</v>
      </c>
      <c r="J62" s="1"/>
      <c r="K62" s="1"/>
      <c r="L62" s="1" t="s">
        <v>142</v>
      </c>
      <c r="M62" s="10">
        <f>Tableau3[[#This Row],[CODE]]</f>
        <v>6077</v>
      </c>
    </row>
    <row r="63" spans="1:13" ht="33.75">
      <c r="A63" s="3">
        <v>6111</v>
      </c>
      <c r="B63" s="9" t="s">
        <v>292</v>
      </c>
      <c r="C63" s="3" t="s">
        <v>293</v>
      </c>
      <c r="D63" s="4" t="s">
        <v>294</v>
      </c>
      <c r="E63" s="3" t="s">
        <v>295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296</v>
      </c>
      <c r="C64" s="3" t="s">
        <v>228</v>
      </c>
      <c r="D64" s="4" t="s">
        <v>297</v>
      </c>
      <c r="E64" s="3" t="s">
        <v>230</v>
      </c>
      <c r="F64" s="5" t="s">
        <v>151</v>
      </c>
      <c r="G64" s="6">
        <v>9.56</v>
      </c>
      <c r="H64" s="7" t="s">
        <v>14</v>
      </c>
      <c r="I64" s="1" t="s">
        <v>142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298</v>
      </c>
      <c r="C65" s="3" t="s">
        <v>299</v>
      </c>
      <c r="D65" s="4" t="s">
        <v>300</v>
      </c>
      <c r="E65" s="3" t="s">
        <v>301</v>
      </c>
      <c r="F65" s="5" t="s">
        <v>265</v>
      </c>
      <c r="G65" s="6">
        <v>8.89</v>
      </c>
      <c r="H65" s="7" t="s">
        <v>15</v>
      </c>
      <c r="I65" s="1" t="s">
        <v>142</v>
      </c>
      <c r="J65" s="1" t="s">
        <v>142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302</v>
      </c>
      <c r="C66" s="3" t="s">
        <v>299</v>
      </c>
      <c r="D66" s="4" t="s">
        <v>303</v>
      </c>
      <c r="E66" s="3" t="s">
        <v>301</v>
      </c>
      <c r="F66" s="5" t="s">
        <v>151</v>
      </c>
      <c r="G66" s="6">
        <v>12.3</v>
      </c>
      <c r="H66" s="7" t="s">
        <v>15</v>
      </c>
      <c r="I66" s="1" t="s">
        <v>142</v>
      </c>
      <c r="J66" s="1" t="s">
        <v>142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304</v>
      </c>
      <c r="C67" s="3" t="s">
        <v>305</v>
      </c>
      <c r="D67" s="4" t="s">
        <v>306</v>
      </c>
      <c r="E67" s="3" t="s">
        <v>307</v>
      </c>
      <c r="F67" s="5" t="s">
        <v>151</v>
      </c>
      <c r="G67" s="6">
        <v>10.93</v>
      </c>
      <c r="H67" s="7" t="s">
        <v>15</v>
      </c>
      <c r="I67" s="1" t="s">
        <v>142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308</v>
      </c>
      <c r="C68" s="3" t="s">
        <v>309</v>
      </c>
      <c r="D68" s="4" t="s">
        <v>310</v>
      </c>
      <c r="E68" s="3" t="s">
        <v>311</v>
      </c>
      <c r="F68" s="5" t="s">
        <v>151</v>
      </c>
      <c r="G68" s="6">
        <v>4.6399999999999997</v>
      </c>
      <c r="H68" s="7" t="s">
        <v>16</v>
      </c>
      <c r="I68" s="1" t="s">
        <v>142</v>
      </c>
      <c r="J68" s="1" t="s">
        <v>142</v>
      </c>
      <c r="K68" s="1" t="s">
        <v>142</v>
      </c>
      <c r="L68" s="1"/>
      <c r="M68" s="10">
        <f>Tableau3[[#This Row],[CODE]]</f>
        <v>1399</v>
      </c>
    </row>
    <row r="69" spans="1:13">
      <c r="A69" s="3" t="s">
        <v>312</v>
      </c>
      <c r="B69" s="9" t="s">
        <v>313</v>
      </c>
      <c r="C69" s="3" t="s">
        <v>299</v>
      </c>
      <c r="D69" s="4" t="s">
        <v>314</v>
      </c>
      <c r="E69" s="3" t="s">
        <v>301</v>
      </c>
      <c r="F69" s="5" t="s">
        <v>151</v>
      </c>
      <c r="G69" s="6">
        <v>27.37</v>
      </c>
      <c r="H69" s="7" t="s">
        <v>15</v>
      </c>
      <c r="I69" s="1" t="s">
        <v>142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315</v>
      </c>
      <c r="C70" s="3" t="s">
        <v>316</v>
      </c>
      <c r="D70" s="4" t="s">
        <v>317</v>
      </c>
      <c r="E70" s="3" t="s">
        <v>318</v>
      </c>
      <c r="F70" s="5" t="s">
        <v>151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319</v>
      </c>
      <c r="C71" s="3" t="s">
        <v>316</v>
      </c>
      <c r="D71" s="4" t="s">
        <v>320</v>
      </c>
      <c r="E71" s="3" t="s">
        <v>318</v>
      </c>
      <c r="F71" s="5" t="s">
        <v>151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321</v>
      </c>
      <c r="C72" s="3" t="s">
        <v>316</v>
      </c>
      <c r="D72" s="4" t="s">
        <v>322</v>
      </c>
      <c r="E72" s="3" t="s">
        <v>318</v>
      </c>
      <c r="F72" s="5" t="s">
        <v>151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323</v>
      </c>
      <c r="C73" s="3" t="s">
        <v>169</v>
      </c>
      <c r="D73" s="4" t="s">
        <v>324</v>
      </c>
      <c r="E73" s="3" t="s">
        <v>146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325</v>
      </c>
      <c r="C74" s="3" t="s">
        <v>326</v>
      </c>
      <c r="D74" s="4" t="s">
        <v>327</v>
      </c>
      <c r="E74" s="3" t="s">
        <v>328</v>
      </c>
      <c r="F74" s="5" t="s">
        <v>151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329</v>
      </c>
      <c r="C75" s="3" t="s">
        <v>330</v>
      </c>
      <c r="D75" s="4" t="s">
        <v>331</v>
      </c>
      <c r="E75" s="3" t="s">
        <v>332</v>
      </c>
      <c r="F75" s="5" t="s">
        <v>151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333</v>
      </c>
      <c r="C76" s="3" t="s">
        <v>334</v>
      </c>
      <c r="D76" s="4" t="s">
        <v>335</v>
      </c>
      <c r="E76" s="3" t="s">
        <v>336</v>
      </c>
      <c r="F76" s="5" t="s">
        <v>151</v>
      </c>
      <c r="G76" s="6">
        <v>8.19</v>
      </c>
      <c r="H76" s="7" t="s">
        <v>15</v>
      </c>
      <c r="I76" s="1" t="s">
        <v>142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337</v>
      </c>
      <c r="C77" s="3" t="s">
        <v>172</v>
      </c>
      <c r="D77" s="4" t="s">
        <v>338</v>
      </c>
      <c r="E77" s="3" t="s">
        <v>174</v>
      </c>
      <c r="F77" s="5" t="s">
        <v>151</v>
      </c>
      <c r="G77" s="6">
        <v>5.45</v>
      </c>
      <c r="H77" s="7" t="s">
        <v>15</v>
      </c>
      <c r="I77" s="1" t="s">
        <v>142</v>
      </c>
      <c r="J77" s="1" t="s">
        <v>142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339</v>
      </c>
      <c r="C78" s="3" t="s">
        <v>172</v>
      </c>
      <c r="D78" s="4" t="s">
        <v>340</v>
      </c>
      <c r="E78" s="3" t="s">
        <v>174</v>
      </c>
      <c r="F78" s="5" t="s">
        <v>341</v>
      </c>
      <c r="G78" s="6">
        <v>8.07</v>
      </c>
      <c r="H78" s="7" t="s">
        <v>15</v>
      </c>
      <c r="I78" s="1" t="s">
        <v>142</v>
      </c>
      <c r="J78" s="1"/>
      <c r="K78" s="1"/>
      <c r="L78" s="1" t="s">
        <v>142</v>
      </c>
      <c r="M78" s="10">
        <f>Tableau3[[#This Row],[CODE]]</f>
        <v>1119</v>
      </c>
    </row>
    <row r="79" spans="1:13" ht="22.5">
      <c r="A79" s="3">
        <v>1119</v>
      </c>
      <c r="B79" s="9" t="s">
        <v>342</v>
      </c>
      <c r="C79" s="3" t="s">
        <v>172</v>
      </c>
      <c r="D79" s="4" t="s">
        <v>343</v>
      </c>
      <c r="E79" s="3" t="s">
        <v>174</v>
      </c>
      <c r="F79" s="5"/>
      <c r="G79" s="6">
        <v>3.41</v>
      </c>
      <c r="H79" s="7" t="s">
        <v>344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345</v>
      </c>
      <c r="B80" s="9" t="s">
        <v>346</v>
      </c>
      <c r="C80" s="3" t="s">
        <v>172</v>
      </c>
      <c r="D80" s="4" t="s">
        <v>347</v>
      </c>
      <c r="E80" s="3" t="s">
        <v>174</v>
      </c>
      <c r="F80" s="5" t="s">
        <v>151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348</v>
      </c>
      <c r="B81" s="9" t="s">
        <v>349</v>
      </c>
      <c r="C81" s="3" t="s">
        <v>172</v>
      </c>
      <c r="D81" s="4" t="s">
        <v>350</v>
      </c>
      <c r="E81" s="3" t="s">
        <v>174</v>
      </c>
      <c r="F81" s="5" t="s">
        <v>151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351</v>
      </c>
      <c r="C82" s="3" t="s">
        <v>334</v>
      </c>
      <c r="D82" s="4" t="s">
        <v>352</v>
      </c>
      <c r="E82" s="3" t="s">
        <v>353</v>
      </c>
      <c r="F82" s="5" t="s">
        <v>151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354</v>
      </c>
      <c r="C83" s="3" t="s">
        <v>172</v>
      </c>
      <c r="D83" s="4" t="s">
        <v>355</v>
      </c>
      <c r="E83" s="3" t="s">
        <v>174</v>
      </c>
      <c r="F83" s="5" t="s">
        <v>151</v>
      </c>
      <c r="G83" s="6">
        <v>6.82</v>
      </c>
      <c r="H83" s="7" t="s">
        <v>15</v>
      </c>
      <c r="I83" s="1" t="s">
        <v>142</v>
      </c>
      <c r="J83" s="1"/>
      <c r="K83" s="1"/>
      <c r="L83" s="1" t="s">
        <v>142</v>
      </c>
      <c r="M83" s="10">
        <f>Tableau3[[#This Row],[CODE]]</f>
        <v>6116</v>
      </c>
    </row>
    <row r="84" spans="1:13">
      <c r="A84" s="3">
        <v>1548</v>
      </c>
      <c r="B84" s="9" t="s">
        <v>356</v>
      </c>
      <c r="C84" s="3" t="s">
        <v>357</v>
      </c>
      <c r="D84" s="4" t="s">
        <v>358</v>
      </c>
      <c r="E84" s="3" t="s">
        <v>359</v>
      </c>
      <c r="F84" s="5"/>
      <c r="G84" s="6">
        <v>10.4</v>
      </c>
      <c r="H84" s="7" t="s">
        <v>15</v>
      </c>
      <c r="I84" s="1" t="s">
        <v>142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360</v>
      </c>
      <c r="C85" s="3" t="s">
        <v>361</v>
      </c>
      <c r="D85" s="4" t="s">
        <v>362</v>
      </c>
      <c r="E85" s="3" t="s">
        <v>363</v>
      </c>
      <c r="F85" s="5" t="s">
        <v>151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364</v>
      </c>
      <c r="C86" s="3" t="s">
        <v>228</v>
      </c>
      <c r="D86" s="4" t="s">
        <v>365</v>
      </c>
      <c r="E86" s="3" t="s">
        <v>230</v>
      </c>
      <c r="F86" s="5" t="s">
        <v>151</v>
      </c>
      <c r="G86" s="6">
        <v>7.25</v>
      </c>
      <c r="H86" s="7" t="s">
        <v>15</v>
      </c>
      <c r="I86" s="1" t="s">
        <v>142</v>
      </c>
      <c r="J86" s="1" t="s">
        <v>142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366</v>
      </c>
      <c r="C87" s="3" t="s">
        <v>172</v>
      </c>
      <c r="D87" s="4" t="s">
        <v>367</v>
      </c>
      <c r="E87" s="3" t="s">
        <v>174</v>
      </c>
      <c r="F87" s="5"/>
      <c r="G87" s="6">
        <v>5.33</v>
      </c>
      <c r="H87" s="7" t="s">
        <v>15</v>
      </c>
      <c r="I87" s="1" t="s">
        <v>142</v>
      </c>
      <c r="J87" s="1" t="s">
        <v>142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368</v>
      </c>
      <c r="C88" s="3" t="s">
        <v>185</v>
      </c>
      <c r="D88" s="4" t="s">
        <v>369</v>
      </c>
      <c r="E88" s="3" t="s">
        <v>187</v>
      </c>
      <c r="F88" s="5" t="s">
        <v>151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370</v>
      </c>
      <c r="C89" s="3" t="s">
        <v>185</v>
      </c>
      <c r="D89" s="4" t="s">
        <v>371</v>
      </c>
      <c r="E89" s="3" t="s">
        <v>187</v>
      </c>
      <c r="F89" s="5" t="s">
        <v>151</v>
      </c>
      <c r="G89" s="6">
        <v>17.78</v>
      </c>
      <c r="H89" s="7" t="s">
        <v>15</v>
      </c>
      <c r="I89" s="1" t="s">
        <v>142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372</v>
      </c>
      <c r="C90" s="3" t="s">
        <v>172</v>
      </c>
      <c r="D90" s="4" t="s">
        <v>373</v>
      </c>
      <c r="E90" s="3" t="s">
        <v>174</v>
      </c>
      <c r="F90" s="5"/>
      <c r="G90" s="6">
        <v>2.71</v>
      </c>
      <c r="H90" s="7" t="s">
        <v>15</v>
      </c>
      <c r="I90" s="1" t="s">
        <v>142</v>
      </c>
      <c r="J90" s="1" t="s">
        <v>142</v>
      </c>
      <c r="K90" s="1" t="s">
        <v>142</v>
      </c>
      <c r="L90" s="1" t="s">
        <v>142</v>
      </c>
      <c r="M90" s="10">
        <f>Tableau3[[#This Row],[CODE]]</f>
        <v>3209</v>
      </c>
    </row>
    <row r="91" spans="1:13">
      <c r="A91" s="3">
        <v>1121</v>
      </c>
      <c r="B91" s="9" t="s">
        <v>374</v>
      </c>
      <c r="C91" s="3" t="s">
        <v>172</v>
      </c>
      <c r="D91" s="4" t="s">
        <v>375</v>
      </c>
      <c r="E91" s="3" t="s">
        <v>174</v>
      </c>
      <c r="F91" s="5" t="s">
        <v>151</v>
      </c>
      <c r="G91" s="6">
        <v>3.82</v>
      </c>
      <c r="H91" s="7" t="s">
        <v>15</v>
      </c>
      <c r="I91" s="1" t="s">
        <v>142</v>
      </c>
      <c r="J91" s="1" t="s">
        <v>142</v>
      </c>
      <c r="K91" s="1" t="s">
        <v>142</v>
      </c>
      <c r="L91" s="1" t="s">
        <v>142</v>
      </c>
      <c r="M91" s="10">
        <f>Tableau3[[#This Row],[CODE]]</f>
        <v>1121</v>
      </c>
    </row>
    <row r="92" spans="1:13">
      <c r="A92" s="3">
        <v>6064</v>
      </c>
      <c r="B92" s="9" t="s">
        <v>376</v>
      </c>
      <c r="C92" s="3" t="s">
        <v>169</v>
      </c>
      <c r="D92" s="4" t="s">
        <v>377</v>
      </c>
      <c r="E92" s="3" t="s">
        <v>146</v>
      </c>
      <c r="F92" s="5" t="s">
        <v>151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378</v>
      </c>
      <c r="C93" s="3" t="s">
        <v>172</v>
      </c>
      <c r="D93" s="4" t="s">
        <v>379</v>
      </c>
      <c r="E93" s="3" t="s">
        <v>174</v>
      </c>
      <c r="F93" s="5"/>
      <c r="G93" s="6">
        <v>5.88</v>
      </c>
      <c r="H93" s="7" t="s">
        <v>15</v>
      </c>
      <c r="I93" s="1" t="s">
        <v>142</v>
      </c>
      <c r="J93" s="1" t="s">
        <v>142</v>
      </c>
      <c r="K93" s="1"/>
      <c r="L93" s="1" t="s">
        <v>142</v>
      </c>
      <c r="M93" s="10">
        <f>Tableau3[[#This Row],[CODE]]</f>
        <v>3704</v>
      </c>
    </row>
    <row r="94" spans="1:13" ht="22.5">
      <c r="A94" s="3" t="s">
        <v>380</v>
      </c>
      <c r="B94" s="9" t="s">
        <v>381</v>
      </c>
      <c r="C94" s="3" t="s">
        <v>172</v>
      </c>
      <c r="D94" s="4" t="s">
        <v>382</v>
      </c>
      <c r="E94" s="3" t="s">
        <v>174</v>
      </c>
      <c r="F94" s="5" t="s">
        <v>265</v>
      </c>
      <c r="G94" s="6">
        <v>3.41</v>
      </c>
      <c r="H94" s="7" t="s">
        <v>15</v>
      </c>
      <c r="I94" s="1" t="s">
        <v>142</v>
      </c>
      <c r="J94" s="1" t="s">
        <v>142</v>
      </c>
      <c r="K94" s="1"/>
      <c r="L94" s="1" t="s">
        <v>142</v>
      </c>
      <c r="M94" s="10" t="str">
        <f>Tableau3[[#This Row],[CODE]]</f>
        <v>3601-5043-3261</v>
      </c>
    </row>
    <row r="95" spans="1:13">
      <c r="A95" s="3">
        <v>3265</v>
      </c>
      <c r="B95" s="9" t="s">
        <v>383</v>
      </c>
      <c r="C95" s="3" t="s">
        <v>172</v>
      </c>
      <c r="D95" s="4" t="s">
        <v>384</v>
      </c>
      <c r="E95" s="3" t="s">
        <v>174</v>
      </c>
      <c r="F95" s="5" t="s">
        <v>151</v>
      </c>
      <c r="G95" s="6">
        <v>3.55</v>
      </c>
      <c r="H95" s="7" t="s">
        <v>15</v>
      </c>
      <c r="I95" s="1" t="s">
        <v>196</v>
      </c>
      <c r="J95" s="1"/>
      <c r="K95" s="1"/>
      <c r="L95" s="1" t="s">
        <v>196</v>
      </c>
      <c r="M95" s="10">
        <f>Tableau3[[#This Row],[CODE]]</f>
        <v>3265</v>
      </c>
    </row>
    <row r="96" spans="1:13">
      <c r="A96" s="3">
        <v>1618</v>
      </c>
      <c r="B96" s="9" t="s">
        <v>385</v>
      </c>
      <c r="C96" s="3" t="s">
        <v>172</v>
      </c>
      <c r="D96" s="4" t="s">
        <v>385</v>
      </c>
      <c r="E96" s="3" t="s">
        <v>174</v>
      </c>
      <c r="F96" s="5" t="s">
        <v>151</v>
      </c>
      <c r="G96" s="6">
        <v>4.2300000000000004</v>
      </c>
      <c r="H96" s="7" t="s">
        <v>15</v>
      </c>
      <c r="I96" s="1" t="s">
        <v>142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386</v>
      </c>
      <c r="C97" s="3" t="s">
        <v>172</v>
      </c>
      <c r="D97" s="4" t="s">
        <v>387</v>
      </c>
      <c r="E97" s="3" t="s">
        <v>174</v>
      </c>
      <c r="F97" s="5"/>
      <c r="G97" s="6">
        <v>4.78</v>
      </c>
      <c r="H97" s="7" t="s">
        <v>15</v>
      </c>
      <c r="I97" s="1" t="s">
        <v>142</v>
      </c>
      <c r="J97" s="1" t="s">
        <v>142</v>
      </c>
      <c r="K97" s="1"/>
      <c r="L97" s="1" t="s">
        <v>142</v>
      </c>
      <c r="M97" s="10">
        <f>Tableau3[[#This Row],[CODE]]</f>
        <v>3159</v>
      </c>
    </row>
    <row r="98" spans="1:13" ht="22.5">
      <c r="A98" s="3">
        <v>3418</v>
      </c>
      <c r="B98" s="9" t="s">
        <v>388</v>
      </c>
      <c r="C98" s="3" t="s">
        <v>389</v>
      </c>
      <c r="D98" s="4" t="s">
        <v>388</v>
      </c>
      <c r="E98" s="3" t="s">
        <v>390</v>
      </c>
      <c r="F98" s="5"/>
      <c r="G98" s="6">
        <v>6.15</v>
      </c>
      <c r="H98" s="7" t="s">
        <v>15</v>
      </c>
      <c r="I98" s="1" t="s">
        <v>142</v>
      </c>
      <c r="J98" s="1"/>
      <c r="K98" s="1"/>
      <c r="L98" s="1" t="s">
        <v>142</v>
      </c>
      <c r="M98" s="10">
        <f>Tableau3[[#This Row],[CODE]]</f>
        <v>3418</v>
      </c>
    </row>
    <row r="99" spans="1:13" ht="22.5">
      <c r="A99" s="3">
        <v>3941</v>
      </c>
      <c r="B99" s="9" t="s">
        <v>391</v>
      </c>
      <c r="C99" s="3" t="s">
        <v>389</v>
      </c>
      <c r="D99" s="4" t="s">
        <v>392</v>
      </c>
      <c r="E99" s="3" t="s">
        <v>390</v>
      </c>
      <c r="F99" s="5"/>
      <c r="G99" s="6">
        <v>9.44</v>
      </c>
      <c r="H99" s="7" t="s">
        <v>15</v>
      </c>
      <c r="I99" s="1"/>
      <c r="J99" s="1"/>
      <c r="K99" s="1"/>
      <c r="L99" s="1" t="s">
        <v>142</v>
      </c>
      <c r="M99" s="10">
        <f>Tableau3[[#This Row],[CODE]]</f>
        <v>3941</v>
      </c>
    </row>
    <row r="100" spans="1:13" ht="22.5">
      <c r="A100" s="3" t="s">
        <v>393</v>
      </c>
      <c r="B100" s="9" t="s">
        <v>394</v>
      </c>
      <c r="C100" s="3" t="s">
        <v>395</v>
      </c>
      <c r="D100" s="4" t="s">
        <v>394</v>
      </c>
      <c r="E100" s="3" t="s">
        <v>390</v>
      </c>
      <c r="F100" s="5"/>
      <c r="G100" s="6">
        <v>6.82</v>
      </c>
      <c r="H100" s="7" t="s">
        <v>15</v>
      </c>
      <c r="I100" s="1" t="s">
        <v>142</v>
      </c>
      <c r="J100" s="1"/>
      <c r="K100" s="1"/>
      <c r="L100" s="1" t="s">
        <v>142</v>
      </c>
      <c r="M100" s="10" t="str">
        <f>Tableau3[[#This Row],[CODE]]</f>
        <v>1020-1961</v>
      </c>
    </row>
    <row r="101" spans="1:13">
      <c r="A101" s="3">
        <v>1755</v>
      </c>
      <c r="B101" s="9" t="s">
        <v>396</v>
      </c>
      <c r="C101" s="3" t="s">
        <v>254</v>
      </c>
      <c r="D101" s="4" t="s">
        <v>397</v>
      </c>
      <c r="E101" s="3" t="s">
        <v>254</v>
      </c>
      <c r="F101" s="5" t="s">
        <v>151</v>
      </c>
      <c r="G101" s="6">
        <v>34.22</v>
      </c>
      <c r="H101" s="7" t="s">
        <v>15</v>
      </c>
      <c r="I101" s="1" t="s">
        <v>142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398</v>
      </c>
      <c r="C102" s="3" t="s">
        <v>254</v>
      </c>
      <c r="D102" s="4" t="s">
        <v>399</v>
      </c>
      <c r="E102" s="3" t="s">
        <v>254</v>
      </c>
      <c r="F102" s="5" t="s">
        <v>151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400</v>
      </c>
      <c r="C103" s="3" t="s">
        <v>361</v>
      </c>
      <c r="D103" s="4" t="s">
        <v>401</v>
      </c>
      <c r="E103" s="3" t="s">
        <v>363</v>
      </c>
      <c r="F103" s="5"/>
      <c r="G103" s="6">
        <v>2.69</v>
      </c>
      <c r="H103" s="7" t="s">
        <v>14</v>
      </c>
      <c r="I103" s="1" t="s">
        <v>142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402</v>
      </c>
      <c r="C104" s="3" t="s">
        <v>228</v>
      </c>
      <c r="D104" s="4" t="s">
        <v>403</v>
      </c>
      <c r="E104" s="3" t="s">
        <v>230</v>
      </c>
      <c r="F104" s="5" t="s">
        <v>151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404</v>
      </c>
      <c r="C105" s="3" t="s">
        <v>228</v>
      </c>
      <c r="D105" s="4" t="s">
        <v>405</v>
      </c>
      <c r="E105" s="3" t="s">
        <v>230</v>
      </c>
      <c r="F105" s="5" t="s">
        <v>151</v>
      </c>
      <c r="G105" s="6">
        <v>16.41</v>
      </c>
      <c r="H105" s="7" t="s">
        <v>15</v>
      </c>
      <c r="I105" s="1" t="s">
        <v>142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406</v>
      </c>
      <c r="C106" s="3" t="s">
        <v>228</v>
      </c>
      <c r="D106" s="4" t="s">
        <v>407</v>
      </c>
      <c r="E106" s="3" t="s">
        <v>230</v>
      </c>
      <c r="F106" s="5" t="s">
        <v>151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408</v>
      </c>
      <c r="C107" s="3" t="s">
        <v>228</v>
      </c>
      <c r="D107" s="4" t="s">
        <v>409</v>
      </c>
      <c r="E107" s="3" t="s">
        <v>230</v>
      </c>
      <c r="F107" s="5" t="s">
        <v>151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410</v>
      </c>
      <c r="C108" s="3" t="s">
        <v>228</v>
      </c>
      <c r="D108" s="4" t="s">
        <v>411</v>
      </c>
      <c r="E108" s="3" t="s">
        <v>230</v>
      </c>
      <c r="F108" s="5" t="s">
        <v>151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412</v>
      </c>
      <c r="C109" s="3" t="s">
        <v>144</v>
      </c>
      <c r="D109" s="4" t="s">
        <v>413</v>
      </c>
      <c r="E109" s="3" t="s">
        <v>146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414</v>
      </c>
      <c r="C110" s="3" t="s">
        <v>172</v>
      </c>
      <c r="D110" s="4" t="s">
        <v>415</v>
      </c>
      <c r="E110" s="3" t="s">
        <v>174</v>
      </c>
      <c r="F110" s="5"/>
      <c r="G110" s="6">
        <v>3.69</v>
      </c>
      <c r="H110" s="7" t="s">
        <v>15</v>
      </c>
      <c r="I110" s="1" t="s">
        <v>142</v>
      </c>
      <c r="J110" s="1"/>
      <c r="K110" s="1"/>
      <c r="L110" s="1" t="s">
        <v>142</v>
      </c>
      <c r="M110" s="10">
        <f>Tableau3[[#This Row],[CODE]]</f>
        <v>3228</v>
      </c>
    </row>
    <row r="111" spans="1:13">
      <c r="A111" s="3">
        <v>1978</v>
      </c>
      <c r="B111" s="9" t="s">
        <v>416</v>
      </c>
      <c r="C111" s="3" t="s">
        <v>172</v>
      </c>
      <c r="D111" s="4" t="s">
        <v>417</v>
      </c>
      <c r="E111" s="3" t="s">
        <v>174</v>
      </c>
      <c r="F111" s="5"/>
      <c r="G111" s="6">
        <v>5.33</v>
      </c>
      <c r="H111" s="8" t="s">
        <v>15</v>
      </c>
      <c r="I111" s="1" t="s">
        <v>142</v>
      </c>
      <c r="J111" s="1" t="s">
        <v>142</v>
      </c>
      <c r="K111" s="1"/>
      <c r="L111" s="1" t="s">
        <v>142</v>
      </c>
      <c r="M111" s="10">
        <f>Tableau3[[#This Row],[CODE]]</f>
        <v>1978</v>
      </c>
    </row>
    <row r="112" spans="1:13">
      <c r="A112" s="3">
        <v>3181</v>
      </c>
      <c r="B112" s="9" t="s">
        <v>418</v>
      </c>
      <c r="C112" s="3" t="s">
        <v>172</v>
      </c>
      <c r="D112" s="4" t="s">
        <v>419</v>
      </c>
      <c r="E112" s="3" t="s">
        <v>174</v>
      </c>
      <c r="F112" s="5"/>
      <c r="G112" s="6">
        <v>5.33</v>
      </c>
      <c r="H112" s="7" t="s">
        <v>15</v>
      </c>
      <c r="I112" s="1" t="s">
        <v>142</v>
      </c>
      <c r="J112" s="1" t="s">
        <v>142</v>
      </c>
      <c r="K112" s="1"/>
      <c r="L112" s="1" t="s">
        <v>142</v>
      </c>
      <c r="M112" s="10">
        <f>Tableau3[[#This Row],[CODE]]</f>
        <v>3181</v>
      </c>
    </row>
    <row r="113" spans="1:13" ht="22.5">
      <c r="A113" s="3">
        <v>5215</v>
      </c>
      <c r="B113" s="9" t="s">
        <v>420</v>
      </c>
      <c r="C113" s="3" t="s">
        <v>172</v>
      </c>
      <c r="D113" s="4" t="s">
        <v>421</v>
      </c>
      <c r="E113" s="3" t="s">
        <v>174</v>
      </c>
      <c r="F113" s="5" t="s">
        <v>151</v>
      </c>
      <c r="G113" s="6">
        <v>53.4</v>
      </c>
      <c r="H113" s="7" t="s">
        <v>15</v>
      </c>
      <c r="I113" s="1"/>
      <c r="J113" s="1"/>
      <c r="K113" s="1"/>
      <c r="L113" s="1" t="s">
        <v>142</v>
      </c>
      <c r="M113" s="10">
        <f>Tableau3[[#This Row],[CODE]]</f>
        <v>5215</v>
      </c>
    </row>
    <row r="114" spans="1:13">
      <c r="A114" s="3">
        <v>3214</v>
      </c>
      <c r="B114" s="9" t="s">
        <v>422</v>
      </c>
      <c r="C114" s="3" t="s">
        <v>172</v>
      </c>
      <c r="D114" s="4" t="s">
        <v>423</v>
      </c>
      <c r="E114" s="3" t="s">
        <v>174</v>
      </c>
      <c r="F114" s="5"/>
      <c r="G114" s="6">
        <v>4.78</v>
      </c>
      <c r="H114" s="7" t="s">
        <v>15</v>
      </c>
      <c r="I114" s="1" t="s">
        <v>142</v>
      </c>
      <c r="J114" s="1" t="s">
        <v>142</v>
      </c>
      <c r="K114" s="1"/>
      <c r="L114" s="1" t="s">
        <v>142</v>
      </c>
      <c r="M114" s="10">
        <f>Tableau3[[#This Row],[CODE]]</f>
        <v>3214</v>
      </c>
    </row>
    <row r="115" spans="1:13">
      <c r="A115" s="3">
        <v>1617</v>
      </c>
      <c r="B115" s="9" t="s">
        <v>424</v>
      </c>
      <c r="C115" s="3" t="s">
        <v>172</v>
      </c>
      <c r="D115" s="4" t="s">
        <v>425</v>
      </c>
      <c r="E115" s="3" t="s">
        <v>174</v>
      </c>
      <c r="F115" s="5"/>
      <c r="G115" s="6">
        <v>5.33</v>
      </c>
      <c r="H115" s="8" t="s">
        <v>15</v>
      </c>
      <c r="I115" s="1" t="s">
        <v>142</v>
      </c>
      <c r="J115" s="1" t="s">
        <v>142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426</v>
      </c>
      <c r="C116" s="3" t="s">
        <v>169</v>
      </c>
      <c r="D116" s="4" t="s">
        <v>427</v>
      </c>
      <c r="E116" s="3" t="s">
        <v>146</v>
      </c>
      <c r="F116" s="5" t="s">
        <v>151</v>
      </c>
      <c r="G116" s="6">
        <v>7.25</v>
      </c>
      <c r="H116" s="7" t="s">
        <v>15</v>
      </c>
      <c r="I116" s="1" t="s">
        <v>142</v>
      </c>
      <c r="J116" s="1" t="s">
        <v>142</v>
      </c>
      <c r="K116" s="1"/>
      <c r="L116" s="1" t="s">
        <v>142</v>
      </c>
      <c r="M116" s="10">
        <f>Tableau3[[#This Row],[CODE]]</f>
        <v>3174</v>
      </c>
    </row>
    <row r="117" spans="1:13">
      <c r="A117" s="3">
        <v>1171</v>
      </c>
      <c r="B117" s="9" t="s">
        <v>428</v>
      </c>
      <c r="C117" s="3" t="s">
        <v>172</v>
      </c>
      <c r="D117" s="4" t="s">
        <v>429</v>
      </c>
      <c r="E117" s="3" t="s">
        <v>174</v>
      </c>
      <c r="F117" s="5" t="s">
        <v>151</v>
      </c>
      <c r="G117" s="6">
        <v>5.45</v>
      </c>
      <c r="H117" s="7" t="s">
        <v>15</v>
      </c>
      <c r="I117" s="1" t="s">
        <v>196</v>
      </c>
      <c r="J117" s="1"/>
      <c r="K117" s="1"/>
      <c r="L117" s="1" t="s">
        <v>196</v>
      </c>
      <c r="M117" s="10">
        <f>Tableau3[[#This Row],[CODE]]</f>
        <v>1171</v>
      </c>
    </row>
    <row r="118" spans="1:13">
      <c r="A118" s="3">
        <v>3183</v>
      </c>
      <c r="B118" s="9" t="s">
        <v>430</v>
      </c>
      <c r="C118" s="3" t="s">
        <v>144</v>
      </c>
      <c r="D118" s="4" t="s">
        <v>431</v>
      </c>
      <c r="E118" s="3" t="s">
        <v>146</v>
      </c>
      <c r="F118" s="5"/>
      <c r="G118" s="6">
        <v>5.88</v>
      </c>
      <c r="H118" s="7" t="s">
        <v>15</v>
      </c>
      <c r="I118" s="1" t="s">
        <v>142</v>
      </c>
      <c r="J118" s="1" t="s">
        <v>142</v>
      </c>
      <c r="K118" s="1" t="s">
        <v>142</v>
      </c>
      <c r="L118" s="1" t="s">
        <v>142</v>
      </c>
      <c r="M118" s="10">
        <f>Tableau3[[#This Row],[CODE]]</f>
        <v>3183</v>
      </c>
    </row>
    <row r="119" spans="1:13" ht="33.75">
      <c r="A119" s="3">
        <v>6118</v>
      </c>
      <c r="B119" s="9" t="s">
        <v>432</v>
      </c>
      <c r="C119" s="3" t="s">
        <v>144</v>
      </c>
      <c r="D119" s="4" t="s">
        <v>433</v>
      </c>
      <c r="E119" s="3" t="s">
        <v>146</v>
      </c>
      <c r="F119" s="5" t="s">
        <v>151</v>
      </c>
      <c r="G119" s="6">
        <v>3</v>
      </c>
      <c r="H119" s="7" t="s">
        <v>15</v>
      </c>
      <c r="I119" s="1" t="s">
        <v>142</v>
      </c>
      <c r="J119" s="1" t="s">
        <v>142</v>
      </c>
      <c r="K119" s="1" t="s">
        <v>142</v>
      </c>
      <c r="L119" s="1" t="s">
        <v>142</v>
      </c>
      <c r="M119" s="10">
        <f>Tableau3[[#This Row],[CODE]]</f>
        <v>6118</v>
      </c>
    </row>
    <row r="120" spans="1:13">
      <c r="A120" s="3">
        <v>1508</v>
      </c>
      <c r="B120" s="9" t="s">
        <v>434</v>
      </c>
      <c r="C120" s="3" t="s">
        <v>144</v>
      </c>
      <c r="D120" s="4" t="s">
        <v>435</v>
      </c>
      <c r="E120" s="3" t="s">
        <v>146</v>
      </c>
      <c r="F120" s="5" t="s">
        <v>151</v>
      </c>
      <c r="G120" s="6">
        <v>6.82</v>
      </c>
      <c r="H120" s="7" t="s">
        <v>15</v>
      </c>
      <c r="I120" s="1" t="s">
        <v>142</v>
      </c>
      <c r="J120" s="1" t="s">
        <v>142</v>
      </c>
      <c r="K120" s="1"/>
      <c r="L120" s="1" t="s">
        <v>142</v>
      </c>
      <c r="M120" s="10">
        <f>Tableau3[[#This Row],[CODE]]</f>
        <v>1508</v>
      </c>
    </row>
    <row r="121" spans="1:13">
      <c r="A121" s="3">
        <v>1788</v>
      </c>
      <c r="B121" s="9" t="s">
        <v>436</v>
      </c>
      <c r="C121" s="3" t="s">
        <v>144</v>
      </c>
      <c r="D121" s="4" t="s">
        <v>437</v>
      </c>
      <c r="E121" s="3" t="s">
        <v>146</v>
      </c>
      <c r="F121" s="5" t="s">
        <v>151</v>
      </c>
      <c r="G121" s="6">
        <v>3.69</v>
      </c>
      <c r="H121" s="7" t="s">
        <v>15</v>
      </c>
      <c r="I121" s="1" t="s">
        <v>196</v>
      </c>
      <c r="J121" s="1" t="s">
        <v>196</v>
      </c>
      <c r="K121" s="1" t="s">
        <v>196</v>
      </c>
      <c r="L121" s="1" t="s">
        <v>196</v>
      </c>
      <c r="M121" s="10">
        <f>Tableau3[[#This Row],[CODE]]</f>
        <v>1788</v>
      </c>
    </row>
    <row r="122" spans="1:13">
      <c r="A122" s="3">
        <v>3194</v>
      </c>
      <c r="B122" s="9" t="s">
        <v>438</v>
      </c>
      <c r="C122" s="3" t="s">
        <v>172</v>
      </c>
      <c r="D122" s="4" t="s">
        <v>439</v>
      </c>
      <c r="E122" s="3" t="s">
        <v>174</v>
      </c>
      <c r="F122" s="5" t="s">
        <v>151</v>
      </c>
      <c r="G122" s="6">
        <v>3.92</v>
      </c>
      <c r="H122" s="8" t="s">
        <v>15</v>
      </c>
      <c r="I122" s="1" t="s">
        <v>142</v>
      </c>
      <c r="J122" s="1" t="s">
        <v>142</v>
      </c>
      <c r="K122" s="1" t="s">
        <v>142</v>
      </c>
      <c r="L122" s="1" t="s">
        <v>142</v>
      </c>
      <c r="M122" s="10">
        <f>Tableau3[[#This Row],[CODE]]</f>
        <v>3194</v>
      </c>
    </row>
    <row r="123" spans="1:13">
      <c r="A123" s="3">
        <v>1138</v>
      </c>
      <c r="B123" s="9" t="s">
        <v>440</v>
      </c>
      <c r="C123" s="3" t="s">
        <v>172</v>
      </c>
      <c r="D123" s="4" t="s">
        <v>441</v>
      </c>
      <c r="E123" s="3" t="s">
        <v>174</v>
      </c>
      <c r="F123" s="5" t="s">
        <v>151</v>
      </c>
      <c r="G123" s="6">
        <v>5.45</v>
      </c>
      <c r="H123" s="7" t="s">
        <v>15</v>
      </c>
      <c r="I123" s="1" t="s">
        <v>142</v>
      </c>
      <c r="J123" s="1" t="s">
        <v>142</v>
      </c>
      <c r="K123" s="1" t="s">
        <v>142</v>
      </c>
      <c r="L123" s="1" t="s">
        <v>142</v>
      </c>
      <c r="M123" s="10">
        <f>Tableau3[[#This Row],[CODE]]</f>
        <v>1138</v>
      </c>
    </row>
    <row r="124" spans="1:13" ht="33.75">
      <c r="A124" s="3">
        <v>3764</v>
      </c>
      <c r="B124" s="9" t="s">
        <v>442</v>
      </c>
      <c r="C124" s="3" t="s">
        <v>172</v>
      </c>
      <c r="D124" s="4" t="s">
        <v>443</v>
      </c>
      <c r="E124" s="3" t="s">
        <v>174</v>
      </c>
      <c r="F124" s="5" t="s">
        <v>151</v>
      </c>
      <c r="G124" s="6">
        <v>4.16</v>
      </c>
      <c r="H124" s="7" t="s">
        <v>15</v>
      </c>
      <c r="I124" s="1" t="s">
        <v>142</v>
      </c>
      <c r="J124" s="1" t="s">
        <v>142</v>
      </c>
      <c r="K124" s="1" t="s">
        <v>142</v>
      </c>
      <c r="L124" s="1" t="s">
        <v>142</v>
      </c>
      <c r="M124" s="10">
        <f>Tableau3[[#This Row],[CODE]]</f>
        <v>3764</v>
      </c>
    </row>
    <row r="125" spans="1:13">
      <c r="A125" s="3">
        <v>1842</v>
      </c>
      <c r="B125" s="9" t="s">
        <v>444</v>
      </c>
      <c r="C125" s="3" t="s">
        <v>144</v>
      </c>
      <c r="D125" s="4" t="s">
        <v>445</v>
      </c>
      <c r="E125" s="3" t="s">
        <v>146</v>
      </c>
      <c r="F125" s="5" t="s">
        <v>151</v>
      </c>
      <c r="G125" s="6">
        <v>3.69</v>
      </c>
      <c r="H125" s="7" t="s">
        <v>15</v>
      </c>
      <c r="I125" s="1" t="s">
        <v>142</v>
      </c>
      <c r="J125" s="1" t="s">
        <v>142</v>
      </c>
      <c r="K125" s="1" t="s">
        <v>142</v>
      </c>
      <c r="L125" s="1" t="s">
        <v>142</v>
      </c>
      <c r="M125" s="10">
        <f>Tableau3[[#This Row],[CODE]]</f>
        <v>1842</v>
      </c>
    </row>
    <row r="126" spans="1:13" ht="22.5">
      <c r="A126" s="3" t="s">
        <v>446</v>
      </c>
      <c r="B126" s="9" t="s">
        <v>447</v>
      </c>
      <c r="C126" s="3" t="s">
        <v>172</v>
      </c>
      <c r="D126" s="4" t="s">
        <v>448</v>
      </c>
      <c r="E126" s="3" t="s">
        <v>174</v>
      </c>
      <c r="F126" s="5" t="s">
        <v>151</v>
      </c>
      <c r="G126" s="6">
        <v>5.74</v>
      </c>
      <c r="H126" s="7" t="s">
        <v>15</v>
      </c>
      <c r="I126" s="1" t="s">
        <v>142</v>
      </c>
      <c r="J126" s="1" t="s">
        <v>142</v>
      </c>
      <c r="K126" s="1" t="s">
        <v>142</v>
      </c>
      <c r="L126" s="1" t="s">
        <v>142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449</v>
      </c>
      <c r="C127" s="3" t="s">
        <v>144</v>
      </c>
      <c r="D127" s="4" t="s">
        <v>450</v>
      </c>
      <c r="E127" s="3" t="s">
        <v>146</v>
      </c>
      <c r="F127" s="5" t="s">
        <v>265</v>
      </c>
      <c r="G127" s="6">
        <v>3.14</v>
      </c>
      <c r="H127" s="8" t="s">
        <v>15</v>
      </c>
      <c r="I127" s="1" t="s">
        <v>142</v>
      </c>
      <c r="J127" s="1" t="s">
        <v>142</v>
      </c>
      <c r="K127" s="1" t="s">
        <v>142</v>
      </c>
      <c r="L127" s="1" t="s">
        <v>142</v>
      </c>
      <c r="M127" s="10">
        <f>Tableau3[[#This Row],[CODE]]</f>
        <v>6187</v>
      </c>
    </row>
    <row r="128" spans="1:13">
      <c r="A128" s="3">
        <v>1115</v>
      </c>
      <c r="B128" s="9" t="s">
        <v>451</v>
      </c>
      <c r="C128" s="3" t="s">
        <v>263</v>
      </c>
      <c r="D128" s="4" t="s">
        <v>452</v>
      </c>
      <c r="E128" s="3" t="s">
        <v>146</v>
      </c>
      <c r="F128" s="5" t="s">
        <v>151</v>
      </c>
      <c r="G128" s="6">
        <v>5.0599999999999996</v>
      </c>
      <c r="H128" s="7" t="s">
        <v>15</v>
      </c>
      <c r="I128" s="1" t="s">
        <v>142</v>
      </c>
      <c r="J128" s="1" t="s">
        <v>142</v>
      </c>
      <c r="K128" s="1" t="s">
        <v>142</v>
      </c>
      <c r="L128" s="1" t="s">
        <v>142</v>
      </c>
      <c r="M128" s="10">
        <f>Tableau3[[#This Row],[CODE]]</f>
        <v>1115</v>
      </c>
    </row>
    <row r="129" spans="1:13">
      <c r="A129" s="3">
        <v>1843</v>
      </c>
      <c r="B129" s="9" t="s">
        <v>453</v>
      </c>
      <c r="C129" s="3" t="s">
        <v>172</v>
      </c>
      <c r="D129" s="4" t="s">
        <v>454</v>
      </c>
      <c r="E129" s="3" t="s">
        <v>174</v>
      </c>
      <c r="F129" s="5"/>
      <c r="G129" s="6">
        <v>5.0599999999999996</v>
      </c>
      <c r="H129" s="7" t="s">
        <v>15</v>
      </c>
      <c r="I129" s="1" t="s">
        <v>142</v>
      </c>
      <c r="J129" s="1" t="s">
        <v>142</v>
      </c>
      <c r="K129" s="1"/>
      <c r="L129" s="1" t="s">
        <v>142</v>
      </c>
      <c r="M129" s="10">
        <f>Tableau3[[#This Row],[CODE]]</f>
        <v>1843</v>
      </c>
    </row>
    <row r="130" spans="1:13">
      <c r="A130" s="3">
        <v>3223</v>
      </c>
      <c r="B130" s="9" t="s">
        <v>455</v>
      </c>
      <c r="C130" s="3" t="s">
        <v>172</v>
      </c>
      <c r="D130" s="4" t="s">
        <v>456</v>
      </c>
      <c r="E130" s="3" t="s">
        <v>174</v>
      </c>
      <c r="F130" s="5"/>
      <c r="G130" s="6">
        <v>5.45</v>
      </c>
      <c r="H130" s="7" t="s">
        <v>15</v>
      </c>
      <c r="I130" s="1" t="s">
        <v>142</v>
      </c>
      <c r="J130" s="1"/>
      <c r="K130" s="1"/>
      <c r="L130" s="1" t="s">
        <v>142</v>
      </c>
      <c r="M130" s="10">
        <f>Tableau3[[#This Row],[CODE]]</f>
        <v>3223</v>
      </c>
    </row>
    <row r="131" spans="1:13" ht="22.5">
      <c r="A131" s="3">
        <v>3868</v>
      </c>
      <c r="B131" s="9" t="s">
        <v>457</v>
      </c>
      <c r="C131" s="3" t="s">
        <v>172</v>
      </c>
      <c r="D131" s="4" t="s">
        <v>458</v>
      </c>
      <c r="E131" s="3" t="s">
        <v>174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142</v>
      </c>
      <c r="M131" s="10">
        <f>Tableau3[[#This Row],[CODE]]</f>
        <v>3868</v>
      </c>
    </row>
    <row r="132" spans="1:13">
      <c r="A132" s="3">
        <v>3230</v>
      </c>
      <c r="B132" s="9" t="s">
        <v>459</v>
      </c>
      <c r="C132" s="3" t="s">
        <v>172</v>
      </c>
      <c r="D132" s="4" t="s">
        <v>460</v>
      </c>
      <c r="E132" s="3" t="s">
        <v>174</v>
      </c>
      <c r="F132" s="5"/>
      <c r="G132" s="6">
        <v>5.0599999999999996</v>
      </c>
      <c r="H132" s="7" t="s">
        <v>15</v>
      </c>
      <c r="I132" s="1" t="s">
        <v>196</v>
      </c>
      <c r="J132" s="1"/>
      <c r="K132" s="1"/>
      <c r="L132" s="1" t="s">
        <v>196</v>
      </c>
      <c r="M132" s="10">
        <f>Tableau3[[#This Row],[CODE]]</f>
        <v>3230</v>
      </c>
    </row>
    <row r="133" spans="1:13">
      <c r="A133" s="3">
        <v>3248</v>
      </c>
      <c r="B133" s="9" t="s">
        <v>461</v>
      </c>
      <c r="C133" s="3" t="s">
        <v>172</v>
      </c>
      <c r="D133" s="4" t="s">
        <v>462</v>
      </c>
      <c r="E133" s="3" t="s">
        <v>174</v>
      </c>
      <c r="F133" s="5"/>
      <c r="G133" s="6">
        <v>5.0599999999999996</v>
      </c>
      <c r="H133" s="7" t="s">
        <v>15</v>
      </c>
      <c r="I133" s="1" t="s">
        <v>196</v>
      </c>
      <c r="J133" s="1"/>
      <c r="K133" s="1"/>
      <c r="L133" s="1" t="s">
        <v>196</v>
      </c>
      <c r="M133" s="10">
        <f>Tableau3[[#This Row],[CODE]]</f>
        <v>3248</v>
      </c>
    </row>
    <row r="134" spans="1:13">
      <c r="A134" s="3">
        <v>3215</v>
      </c>
      <c r="B134" s="9" t="s">
        <v>463</v>
      </c>
      <c r="C134" s="3" t="s">
        <v>172</v>
      </c>
      <c r="D134" s="4" t="s">
        <v>464</v>
      </c>
      <c r="E134" s="3" t="s">
        <v>174</v>
      </c>
      <c r="F134" s="5" t="s">
        <v>151</v>
      </c>
      <c r="G134" s="6">
        <v>6.15</v>
      </c>
      <c r="H134" s="8" t="s">
        <v>15</v>
      </c>
      <c r="I134" s="1" t="s">
        <v>142</v>
      </c>
      <c r="J134" s="1" t="s">
        <v>142</v>
      </c>
      <c r="K134" s="1" t="s">
        <v>142</v>
      </c>
      <c r="L134" s="1" t="s">
        <v>142</v>
      </c>
      <c r="M134" s="10">
        <f>Tableau3[[#This Row],[CODE]]</f>
        <v>3215</v>
      </c>
    </row>
    <row r="135" spans="1:13">
      <c r="A135" s="3">
        <v>1686</v>
      </c>
      <c r="B135" s="9" t="s">
        <v>465</v>
      </c>
      <c r="C135" s="3" t="s">
        <v>144</v>
      </c>
      <c r="D135" s="4" t="s">
        <v>466</v>
      </c>
      <c r="E135" s="3" t="s">
        <v>144</v>
      </c>
      <c r="F135" s="5" t="s">
        <v>151</v>
      </c>
      <c r="G135" s="6">
        <v>6.82</v>
      </c>
      <c r="H135" s="7" t="s">
        <v>15</v>
      </c>
      <c r="I135" s="1" t="s">
        <v>142</v>
      </c>
      <c r="J135" s="1" t="s">
        <v>142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467</v>
      </c>
      <c r="C136" s="3" t="s">
        <v>144</v>
      </c>
      <c r="D136" s="4" t="s">
        <v>468</v>
      </c>
      <c r="E136" s="3" t="s">
        <v>146</v>
      </c>
      <c r="F136" s="5"/>
      <c r="G136" s="6">
        <v>3.55</v>
      </c>
      <c r="H136" s="7" t="s">
        <v>15</v>
      </c>
      <c r="I136" s="1" t="s">
        <v>142</v>
      </c>
      <c r="J136" s="1"/>
      <c r="K136" s="1"/>
      <c r="L136" s="1" t="s">
        <v>142</v>
      </c>
      <c r="M136" s="10">
        <f>Tableau3[[#This Row],[CODE]]</f>
        <v>3075</v>
      </c>
    </row>
    <row r="137" spans="1:13">
      <c r="A137" s="3">
        <v>1032</v>
      </c>
      <c r="B137" s="9" t="s">
        <v>469</v>
      </c>
      <c r="C137" s="3" t="s">
        <v>169</v>
      </c>
      <c r="D137" s="4" t="s">
        <v>470</v>
      </c>
      <c r="E137" s="3" t="s">
        <v>146</v>
      </c>
      <c r="F137" s="5"/>
      <c r="G137" s="6">
        <v>3</v>
      </c>
      <c r="H137" s="7" t="s">
        <v>15</v>
      </c>
      <c r="I137" s="1" t="s">
        <v>142</v>
      </c>
      <c r="J137" s="1" t="s">
        <v>142</v>
      </c>
      <c r="K137" s="1" t="s">
        <v>142</v>
      </c>
      <c r="L137" s="1" t="s">
        <v>142</v>
      </c>
      <c r="M137" s="10">
        <f>Tableau3[[#This Row],[CODE]]</f>
        <v>1032</v>
      </c>
    </row>
    <row r="138" spans="1:13">
      <c r="A138" s="3">
        <v>3112</v>
      </c>
      <c r="B138" s="9" t="s">
        <v>471</v>
      </c>
      <c r="C138" s="3" t="s">
        <v>472</v>
      </c>
      <c r="D138" s="4" t="s">
        <v>473</v>
      </c>
      <c r="E138" s="3" t="s">
        <v>474</v>
      </c>
      <c r="F138" s="5" t="s">
        <v>151</v>
      </c>
      <c r="G138" s="6">
        <v>1.9</v>
      </c>
      <c r="H138" s="7" t="s">
        <v>15</v>
      </c>
      <c r="I138" s="1" t="s">
        <v>142</v>
      </c>
      <c r="J138" s="1" t="s">
        <v>142</v>
      </c>
      <c r="K138" s="1" t="s">
        <v>142</v>
      </c>
      <c r="L138" s="1" t="s">
        <v>142</v>
      </c>
      <c r="M138" s="10">
        <f>Tableau3[[#This Row],[CODE]]</f>
        <v>3112</v>
      </c>
    </row>
    <row r="139" spans="1:13">
      <c r="A139" s="3">
        <v>1052</v>
      </c>
      <c r="B139" s="9" t="s">
        <v>475</v>
      </c>
      <c r="C139" s="3" t="s">
        <v>476</v>
      </c>
      <c r="D139" s="4" t="s">
        <v>477</v>
      </c>
      <c r="E139" s="3" t="s">
        <v>478</v>
      </c>
      <c r="F139" s="5"/>
      <c r="G139" s="6">
        <v>2.71</v>
      </c>
      <c r="H139" s="8" t="s">
        <v>15</v>
      </c>
      <c r="I139" s="1" t="s">
        <v>142</v>
      </c>
      <c r="J139" s="1" t="s">
        <v>142</v>
      </c>
      <c r="K139" s="1"/>
      <c r="L139" s="1" t="s">
        <v>142</v>
      </c>
      <c r="M139" s="10">
        <f>Tableau3[[#This Row],[CODE]]</f>
        <v>1052</v>
      </c>
    </row>
    <row r="140" spans="1:13">
      <c r="A140" s="3">
        <v>3925</v>
      </c>
      <c r="B140" s="9" t="s">
        <v>479</v>
      </c>
      <c r="C140" s="3" t="s">
        <v>172</v>
      </c>
      <c r="D140" s="4" t="s">
        <v>480</v>
      </c>
      <c r="E140" s="3" t="s">
        <v>174</v>
      </c>
      <c r="F140" s="5" t="s">
        <v>151</v>
      </c>
      <c r="G140" s="6">
        <v>12.73</v>
      </c>
      <c r="H140" s="7" t="s">
        <v>14</v>
      </c>
      <c r="I140" s="1" t="s">
        <v>142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481</v>
      </c>
      <c r="C141" s="3" t="s">
        <v>172</v>
      </c>
      <c r="D141" s="4" t="s">
        <v>482</v>
      </c>
      <c r="E141" s="3" t="s">
        <v>174</v>
      </c>
      <c r="F141" s="5" t="s">
        <v>151</v>
      </c>
      <c r="G141" s="6">
        <v>12.73</v>
      </c>
      <c r="H141" s="7" t="s">
        <v>14</v>
      </c>
      <c r="I141" s="1" t="s">
        <v>142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483</v>
      </c>
      <c r="C142" s="3" t="s">
        <v>484</v>
      </c>
      <c r="D142" s="4" t="s">
        <v>485</v>
      </c>
      <c r="E142" s="3" t="s">
        <v>484</v>
      </c>
      <c r="F142" s="5" t="s">
        <v>151</v>
      </c>
      <c r="G142" s="6">
        <v>15.04</v>
      </c>
      <c r="H142" s="7" t="s">
        <v>14</v>
      </c>
      <c r="I142" s="1" t="s">
        <v>142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486</v>
      </c>
      <c r="C143" s="3" t="s">
        <v>172</v>
      </c>
      <c r="D143" s="4" t="s">
        <v>487</v>
      </c>
      <c r="E143" s="3" t="s">
        <v>174</v>
      </c>
      <c r="F143" s="5" t="s">
        <v>151</v>
      </c>
      <c r="G143" s="6">
        <v>12.73</v>
      </c>
      <c r="H143" s="7" t="s">
        <v>14</v>
      </c>
      <c r="I143" s="1" t="s">
        <v>142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488</v>
      </c>
      <c r="C144" s="3" t="s">
        <v>172</v>
      </c>
      <c r="D144" s="4" t="s">
        <v>489</v>
      </c>
      <c r="E144" s="3" t="s">
        <v>174</v>
      </c>
      <c r="F144" s="5" t="s">
        <v>151</v>
      </c>
      <c r="G144" s="6">
        <v>12.73</v>
      </c>
      <c r="H144" s="7" t="s">
        <v>14</v>
      </c>
      <c r="I144" s="1" t="s">
        <v>142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490</v>
      </c>
      <c r="C145" s="3" t="s">
        <v>484</v>
      </c>
      <c r="D145" s="4" t="s">
        <v>491</v>
      </c>
      <c r="E145" s="3" t="s">
        <v>484</v>
      </c>
      <c r="F145" s="5" t="s">
        <v>151</v>
      </c>
      <c r="G145" s="6">
        <v>19.850000000000001</v>
      </c>
      <c r="H145" s="7" t="s">
        <v>14</v>
      </c>
      <c r="I145" s="1" t="s">
        <v>142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492</v>
      </c>
      <c r="C146" s="3" t="s">
        <v>172</v>
      </c>
      <c r="D146" s="4" t="s">
        <v>493</v>
      </c>
      <c r="E146" s="3" t="s">
        <v>174</v>
      </c>
      <c r="F146" s="5" t="s">
        <v>151</v>
      </c>
      <c r="G146" s="6">
        <v>10.67</v>
      </c>
      <c r="H146" s="7" t="s">
        <v>14</v>
      </c>
      <c r="I146" s="1" t="s">
        <v>142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494</v>
      </c>
      <c r="C147" s="3" t="s">
        <v>495</v>
      </c>
      <c r="D147" s="4" t="s">
        <v>496</v>
      </c>
      <c r="E147" s="3" t="s">
        <v>295</v>
      </c>
      <c r="F147" s="5"/>
      <c r="G147" s="6">
        <v>4.2300000000000004</v>
      </c>
      <c r="H147" s="7" t="s">
        <v>15</v>
      </c>
      <c r="I147" s="1" t="s">
        <v>142</v>
      </c>
      <c r="J147" s="1" t="s">
        <v>142</v>
      </c>
      <c r="K147" s="1"/>
      <c r="L147" s="1" t="s">
        <v>142</v>
      </c>
      <c r="M147" s="10">
        <f>Tableau3[[#This Row],[CODE]]</f>
        <v>3137</v>
      </c>
    </row>
    <row r="148" spans="1:13">
      <c r="A148" s="3">
        <v>1154</v>
      </c>
      <c r="B148" s="9" t="s">
        <v>497</v>
      </c>
      <c r="C148" s="3" t="s">
        <v>357</v>
      </c>
      <c r="D148" s="4" t="s">
        <v>498</v>
      </c>
      <c r="E148" s="3" t="s">
        <v>359</v>
      </c>
      <c r="F148" s="5" t="s">
        <v>151</v>
      </c>
      <c r="G148" s="6">
        <v>23.26</v>
      </c>
      <c r="H148" s="7" t="s">
        <v>14</v>
      </c>
      <c r="I148" s="1" t="s">
        <v>142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499</v>
      </c>
      <c r="C149" s="3" t="s">
        <v>500</v>
      </c>
      <c r="D149" s="4" t="s">
        <v>501</v>
      </c>
      <c r="E149" s="3" t="s">
        <v>150</v>
      </c>
      <c r="F149" s="5" t="s">
        <v>151</v>
      </c>
      <c r="G149" s="6">
        <v>21.22</v>
      </c>
      <c r="H149" s="7" t="s">
        <v>14</v>
      </c>
      <c r="I149" s="1" t="s">
        <v>142</v>
      </c>
      <c r="J149" s="1" t="s">
        <v>142</v>
      </c>
      <c r="K149" s="1"/>
      <c r="L149" s="1"/>
      <c r="M149" s="10">
        <f>Tableau3[[#This Row],[CODE]]</f>
        <v>1027</v>
      </c>
    </row>
    <row r="150" spans="1:13" ht="22.5">
      <c r="A150" s="3" t="s">
        <v>502</v>
      </c>
      <c r="B150" s="9" t="s">
        <v>503</v>
      </c>
      <c r="C150" s="3" t="s">
        <v>504</v>
      </c>
      <c r="D150" s="4" t="s">
        <v>505</v>
      </c>
      <c r="E150" s="3" t="s">
        <v>506</v>
      </c>
      <c r="F150" s="5" t="s">
        <v>151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502</v>
      </c>
      <c r="B151" s="9" t="s">
        <v>507</v>
      </c>
      <c r="C151" s="3" t="s">
        <v>504</v>
      </c>
      <c r="D151" s="4" t="s">
        <v>508</v>
      </c>
      <c r="E151" s="3" t="s">
        <v>506</v>
      </c>
      <c r="F151" s="5" t="s">
        <v>151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509</v>
      </c>
      <c r="C152" s="3" t="s">
        <v>510</v>
      </c>
      <c r="D152" s="4" t="s">
        <v>511</v>
      </c>
      <c r="E152" s="3" t="s">
        <v>512</v>
      </c>
      <c r="F152" s="5" t="s">
        <v>151</v>
      </c>
      <c r="G152" s="6">
        <v>36.96</v>
      </c>
      <c r="H152" s="7" t="s">
        <v>14</v>
      </c>
      <c r="I152" s="1" t="s">
        <v>142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513</v>
      </c>
      <c r="C153" s="3" t="s">
        <v>510</v>
      </c>
      <c r="D153" s="4" t="s">
        <v>514</v>
      </c>
      <c r="E153" s="3" t="s">
        <v>512</v>
      </c>
      <c r="F153" s="5" t="s">
        <v>151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515</v>
      </c>
      <c r="C154" s="3" t="s">
        <v>169</v>
      </c>
      <c r="D154" s="4" t="s">
        <v>516</v>
      </c>
      <c r="E154" s="3" t="s">
        <v>146</v>
      </c>
      <c r="F154" s="5"/>
      <c r="G154" s="6">
        <v>2.04</v>
      </c>
      <c r="H154" s="7" t="s">
        <v>15</v>
      </c>
      <c r="I154" s="1" t="s">
        <v>142</v>
      </c>
      <c r="J154" s="1" t="s">
        <v>142</v>
      </c>
      <c r="K154" s="1"/>
      <c r="L154" s="1" t="s">
        <v>142</v>
      </c>
      <c r="M154" s="10">
        <f>Tableau3[[#This Row],[CODE]]</f>
        <v>1101</v>
      </c>
    </row>
    <row r="155" spans="1:13">
      <c r="A155" s="3">
        <v>1151</v>
      </c>
      <c r="B155" s="9" t="s">
        <v>517</v>
      </c>
      <c r="C155" s="3" t="s">
        <v>169</v>
      </c>
      <c r="D155" s="4" t="s">
        <v>518</v>
      </c>
      <c r="E155" s="3" t="s">
        <v>144</v>
      </c>
      <c r="F155" s="5"/>
      <c r="G155" s="6">
        <v>2.1800000000000002</v>
      </c>
      <c r="H155" s="7" t="s">
        <v>15</v>
      </c>
      <c r="I155" s="1" t="s">
        <v>142</v>
      </c>
      <c r="J155" s="1" t="s">
        <v>142</v>
      </c>
      <c r="K155" s="1"/>
      <c r="L155" s="1" t="s">
        <v>142</v>
      </c>
      <c r="M155" s="10">
        <f>Tableau3[[#This Row],[CODE]]</f>
        <v>1151</v>
      </c>
    </row>
    <row r="156" spans="1:13" ht="22.5">
      <c r="A156" s="3">
        <v>6025</v>
      </c>
      <c r="B156" s="9" t="s">
        <v>519</v>
      </c>
      <c r="C156" s="3" t="s">
        <v>169</v>
      </c>
      <c r="D156" s="4" t="s">
        <v>520</v>
      </c>
      <c r="E156" s="3" t="s">
        <v>146</v>
      </c>
      <c r="F156" s="5"/>
      <c r="G156" s="6">
        <v>5.45</v>
      </c>
      <c r="H156" s="7" t="s">
        <v>14</v>
      </c>
      <c r="I156" s="1" t="s">
        <v>142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521</v>
      </c>
      <c r="C157" s="3" t="s">
        <v>522</v>
      </c>
      <c r="D157" s="4" t="s">
        <v>523</v>
      </c>
      <c r="E157" s="3" t="s">
        <v>524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525</v>
      </c>
      <c r="C158" s="3" t="s">
        <v>361</v>
      </c>
      <c r="D158" s="4" t="s">
        <v>526</v>
      </c>
      <c r="E158" s="3" t="s">
        <v>363</v>
      </c>
      <c r="F158" s="5" t="s">
        <v>151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527</v>
      </c>
      <c r="C159" s="3" t="s">
        <v>172</v>
      </c>
      <c r="D159" s="4" t="s">
        <v>528</v>
      </c>
      <c r="E159" s="3" t="s">
        <v>174</v>
      </c>
      <c r="F159" s="5"/>
      <c r="G159" s="6">
        <v>4.08</v>
      </c>
      <c r="H159" s="7" t="s">
        <v>15</v>
      </c>
      <c r="I159" s="1" t="s">
        <v>142</v>
      </c>
      <c r="J159" s="1"/>
      <c r="K159" s="1"/>
      <c r="L159" s="1" t="s">
        <v>142</v>
      </c>
      <c r="M159" s="10">
        <f>Tableau3[[#This Row],[CODE]]</f>
        <v>5159</v>
      </c>
    </row>
    <row r="160" spans="1:13">
      <c r="A160" s="3" t="s">
        <v>529</v>
      </c>
      <c r="B160" s="9" t="s">
        <v>530</v>
      </c>
      <c r="C160" s="3" t="s">
        <v>361</v>
      </c>
      <c r="D160" s="4" t="s">
        <v>531</v>
      </c>
      <c r="E160" s="3" t="s">
        <v>363</v>
      </c>
      <c r="F160" s="5"/>
      <c r="G160" s="6">
        <v>3.14</v>
      </c>
      <c r="H160" s="7" t="s">
        <v>15</v>
      </c>
      <c r="I160" s="1" t="s">
        <v>142</v>
      </c>
      <c r="J160" s="1"/>
      <c r="K160" s="1"/>
      <c r="L160" s="1" t="s">
        <v>142</v>
      </c>
      <c r="M160" s="10" t="str">
        <f>Tableau3[[#This Row],[CODE]]</f>
        <v>5117-3073</v>
      </c>
    </row>
    <row r="161" spans="1:13">
      <c r="A161" s="3" t="s">
        <v>532</v>
      </c>
      <c r="B161" s="9" t="s">
        <v>533</v>
      </c>
      <c r="C161" s="3" t="s">
        <v>476</v>
      </c>
      <c r="D161" s="4" t="s">
        <v>534</v>
      </c>
      <c r="E161" s="3" t="s">
        <v>478</v>
      </c>
      <c r="F161" s="5"/>
      <c r="G161" s="6">
        <v>3.27</v>
      </c>
      <c r="H161" s="7" t="s">
        <v>15</v>
      </c>
      <c r="I161" s="1" t="s">
        <v>142</v>
      </c>
      <c r="J161" s="1" t="s">
        <v>142</v>
      </c>
      <c r="K161" s="1"/>
      <c r="L161" s="1" t="s">
        <v>142</v>
      </c>
      <c r="M161" s="10" t="str">
        <f>Tableau3[[#This Row],[CODE]]</f>
        <v>3073.135</v>
      </c>
    </row>
    <row r="162" spans="1:13">
      <c r="A162" s="3">
        <v>6124</v>
      </c>
      <c r="B162" s="9" t="s">
        <v>535</v>
      </c>
      <c r="C162" s="3" t="s">
        <v>536</v>
      </c>
      <c r="D162" s="4" t="s">
        <v>537</v>
      </c>
      <c r="E162" s="3" t="s">
        <v>538</v>
      </c>
      <c r="F162" s="5"/>
      <c r="G162" s="6">
        <v>3.96</v>
      </c>
      <c r="H162" s="7" t="s">
        <v>15</v>
      </c>
      <c r="I162" s="1" t="s">
        <v>196</v>
      </c>
      <c r="J162" s="1" t="s">
        <v>196</v>
      </c>
      <c r="K162" s="1"/>
      <c r="L162" s="1" t="s">
        <v>196</v>
      </c>
      <c r="M162" s="10">
        <f>Tableau3[[#This Row],[CODE]]</f>
        <v>6124</v>
      </c>
    </row>
    <row r="163" spans="1:13" ht="22.5">
      <c r="A163" s="3">
        <v>3441</v>
      </c>
      <c r="B163" s="9" t="s">
        <v>539</v>
      </c>
      <c r="C163" s="3" t="s">
        <v>540</v>
      </c>
      <c r="D163" s="4" t="s">
        <v>541</v>
      </c>
      <c r="E163" s="3" t="s">
        <v>538</v>
      </c>
      <c r="F163" s="5"/>
      <c r="G163" s="6">
        <v>3.55</v>
      </c>
      <c r="H163" s="7" t="s">
        <v>15</v>
      </c>
      <c r="I163" s="1" t="s">
        <v>142</v>
      </c>
      <c r="J163" s="1" t="s">
        <v>142</v>
      </c>
      <c r="K163" s="1"/>
      <c r="L163" s="1" t="s">
        <v>142</v>
      </c>
      <c r="M163" s="10">
        <f>Tableau3[[#This Row],[CODE]]</f>
        <v>3441</v>
      </c>
    </row>
    <row r="164" spans="1:13" ht="22.5">
      <c r="A164" s="3" t="s">
        <v>542</v>
      </c>
      <c r="B164" s="9" t="s">
        <v>543</v>
      </c>
      <c r="C164" s="3" t="s">
        <v>172</v>
      </c>
      <c r="D164" s="4" t="s">
        <v>544</v>
      </c>
      <c r="E164" s="3" t="s">
        <v>174</v>
      </c>
      <c r="F164" s="5"/>
      <c r="G164" s="6">
        <v>4.0599999999999996</v>
      </c>
      <c r="H164" s="7" t="s">
        <v>15</v>
      </c>
      <c r="I164" s="1" t="s">
        <v>142</v>
      </c>
      <c r="J164" s="1" t="s">
        <v>142</v>
      </c>
      <c r="K164" s="1" t="s">
        <v>142</v>
      </c>
      <c r="L164" s="1" t="s">
        <v>142</v>
      </c>
      <c r="M164" s="10" t="str">
        <f>Tableau3[[#This Row],[CODE]]</f>
        <v>3694-3006</v>
      </c>
    </row>
    <row r="165" spans="1:13">
      <c r="A165" s="3">
        <v>1576</v>
      </c>
      <c r="B165" s="9" t="s">
        <v>545</v>
      </c>
      <c r="C165" s="3" t="s">
        <v>169</v>
      </c>
      <c r="D165" s="4" t="s">
        <v>546</v>
      </c>
      <c r="E165" s="3" t="s">
        <v>146</v>
      </c>
      <c r="F165" s="5" t="s">
        <v>151</v>
      </c>
      <c r="G165" s="6">
        <v>2.59</v>
      </c>
      <c r="H165" s="7" t="s">
        <v>15</v>
      </c>
      <c r="I165" s="1" t="s">
        <v>142</v>
      </c>
      <c r="J165" s="1" t="s">
        <v>142</v>
      </c>
      <c r="K165" s="1" t="s">
        <v>142</v>
      </c>
      <c r="L165" s="1" t="s">
        <v>142</v>
      </c>
      <c r="M165" s="10">
        <f>Tableau3[[#This Row],[CODE]]</f>
        <v>1576</v>
      </c>
    </row>
    <row r="166" spans="1:13">
      <c r="A166" s="3">
        <v>1015</v>
      </c>
      <c r="B166" s="9" t="s">
        <v>547</v>
      </c>
      <c r="C166" s="3" t="s">
        <v>169</v>
      </c>
      <c r="D166" s="4" t="s">
        <v>548</v>
      </c>
      <c r="E166" s="3" t="s">
        <v>146</v>
      </c>
      <c r="F166" s="5" t="s">
        <v>151</v>
      </c>
      <c r="G166" s="6">
        <v>2.71</v>
      </c>
      <c r="H166" s="7" t="s">
        <v>15</v>
      </c>
      <c r="I166" s="1" t="s">
        <v>142</v>
      </c>
      <c r="J166" s="1" t="s">
        <v>142</v>
      </c>
      <c r="K166" s="1" t="s">
        <v>142</v>
      </c>
      <c r="L166" s="1" t="s">
        <v>142</v>
      </c>
      <c r="M166" s="10">
        <f>Tableau3[[#This Row],[CODE]]</f>
        <v>1015</v>
      </c>
    </row>
    <row r="167" spans="1:13">
      <c r="A167" s="3">
        <v>3899</v>
      </c>
      <c r="B167" s="9" t="s">
        <v>549</v>
      </c>
      <c r="C167" s="3" t="s">
        <v>172</v>
      </c>
      <c r="D167" s="4" t="s">
        <v>550</v>
      </c>
      <c r="E167" s="3" t="s">
        <v>174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551</v>
      </c>
      <c r="C168" s="3" t="s">
        <v>169</v>
      </c>
      <c r="D168" s="4" t="s">
        <v>552</v>
      </c>
      <c r="E168" s="3" t="s">
        <v>146</v>
      </c>
      <c r="F168" s="5" t="s">
        <v>265</v>
      </c>
      <c r="G168" s="6">
        <v>2.3199999999999998</v>
      </c>
      <c r="H168" s="7" t="s">
        <v>15</v>
      </c>
      <c r="I168" s="1"/>
      <c r="J168" s="1"/>
      <c r="K168" s="1"/>
      <c r="L168" s="1" t="s">
        <v>142</v>
      </c>
      <c r="M168" s="10">
        <f>Tableau3[[#This Row],[CODE]]</f>
        <v>1761</v>
      </c>
    </row>
    <row r="169" spans="1:13" ht="22.5">
      <c r="A169" s="3" t="s">
        <v>553</v>
      </c>
      <c r="B169" s="9" t="s">
        <v>554</v>
      </c>
      <c r="C169" s="3" t="s">
        <v>172</v>
      </c>
      <c r="D169" s="4" t="s">
        <v>555</v>
      </c>
      <c r="E169" s="3" t="s">
        <v>174</v>
      </c>
      <c r="F169" s="5"/>
      <c r="G169" s="6">
        <v>3</v>
      </c>
      <c r="H169" s="7" t="s">
        <v>15</v>
      </c>
      <c r="I169" s="1" t="s">
        <v>142</v>
      </c>
      <c r="J169" s="1"/>
      <c r="K169" s="1"/>
      <c r="L169" s="1" t="s">
        <v>142</v>
      </c>
      <c r="M169" s="10" t="str">
        <f>Tableau3[[#This Row],[CODE]]</f>
        <v>5106-3735-3533</v>
      </c>
    </row>
    <row r="170" spans="1:13" ht="22.5">
      <c r="A170" s="3" t="s">
        <v>556</v>
      </c>
      <c r="B170" s="9" t="s">
        <v>557</v>
      </c>
      <c r="C170" s="3" t="s">
        <v>144</v>
      </c>
      <c r="D170" s="4" t="s">
        <v>558</v>
      </c>
      <c r="E170" s="3" t="s">
        <v>146</v>
      </c>
      <c r="F170" s="5" t="s">
        <v>265</v>
      </c>
      <c r="G170" s="6">
        <v>10.93</v>
      </c>
      <c r="H170" s="7" t="s">
        <v>15</v>
      </c>
      <c r="I170" s="1" t="s">
        <v>142</v>
      </c>
      <c r="J170" s="1" t="s">
        <v>142</v>
      </c>
      <c r="K170" s="1"/>
      <c r="L170" s="1" t="s">
        <v>142</v>
      </c>
      <c r="M170" s="10" t="str">
        <f>Tableau3[[#This Row],[CODE]]</f>
        <v>3757-3987</v>
      </c>
    </row>
    <row r="171" spans="1:13">
      <c r="A171" s="3">
        <v>3043</v>
      </c>
      <c r="B171" s="9" t="s">
        <v>559</v>
      </c>
      <c r="C171" s="3" t="s">
        <v>495</v>
      </c>
      <c r="D171" s="4" t="s">
        <v>560</v>
      </c>
      <c r="E171" s="3" t="s">
        <v>295</v>
      </c>
      <c r="F171" s="5"/>
      <c r="G171" s="6">
        <v>3.41</v>
      </c>
      <c r="H171" s="7" t="s">
        <v>15</v>
      </c>
      <c r="I171" s="1" t="s">
        <v>142</v>
      </c>
      <c r="J171" s="1" t="s">
        <v>142</v>
      </c>
      <c r="K171" s="1"/>
      <c r="L171" s="1" t="s">
        <v>142</v>
      </c>
      <c r="M171" s="10">
        <f>Tableau3[[#This Row],[CODE]]</f>
        <v>3043</v>
      </c>
    </row>
    <row r="172" spans="1:13">
      <c r="A172" s="3">
        <v>1123</v>
      </c>
      <c r="B172" s="9" t="s">
        <v>561</v>
      </c>
      <c r="C172" s="3" t="s">
        <v>293</v>
      </c>
      <c r="D172" s="4" t="s">
        <v>562</v>
      </c>
      <c r="E172" s="3" t="s">
        <v>295</v>
      </c>
      <c r="F172" s="5"/>
      <c r="G172" s="6">
        <v>3.82</v>
      </c>
      <c r="H172" s="7" t="s">
        <v>15</v>
      </c>
      <c r="I172" s="1" t="s">
        <v>142</v>
      </c>
      <c r="J172" s="1" t="s">
        <v>142</v>
      </c>
      <c r="K172" s="1"/>
      <c r="L172" s="1" t="s">
        <v>142</v>
      </c>
      <c r="M172" s="10">
        <f>Tableau3[[#This Row],[CODE]]</f>
        <v>1123</v>
      </c>
    </row>
    <row r="173" spans="1:13">
      <c r="A173" s="3">
        <v>3983</v>
      </c>
      <c r="B173" s="9" t="s">
        <v>563</v>
      </c>
      <c r="C173" s="3" t="s">
        <v>172</v>
      </c>
      <c r="D173" s="4" t="s">
        <v>564</v>
      </c>
      <c r="E173" s="3" t="s">
        <v>174</v>
      </c>
      <c r="F173" s="5"/>
      <c r="G173" s="6">
        <v>3.14</v>
      </c>
      <c r="H173" s="7" t="s">
        <v>15</v>
      </c>
      <c r="I173" s="1" t="s">
        <v>142</v>
      </c>
      <c r="J173" s="1"/>
      <c r="K173" s="1"/>
      <c r="L173" s="1" t="s">
        <v>142</v>
      </c>
      <c r="M173" s="10">
        <f>Tableau3[[#This Row],[CODE]]</f>
        <v>3983</v>
      </c>
    </row>
    <row r="174" spans="1:13">
      <c r="A174" s="3">
        <v>1062</v>
      </c>
      <c r="B174" s="9" t="s">
        <v>565</v>
      </c>
      <c r="C174" s="3" t="s">
        <v>169</v>
      </c>
      <c r="D174" s="4" t="s">
        <v>566</v>
      </c>
      <c r="E174" s="3" t="s">
        <v>146</v>
      </c>
      <c r="F174" s="5"/>
      <c r="G174" s="6">
        <v>3.41</v>
      </c>
      <c r="H174" s="7" t="s">
        <v>15</v>
      </c>
      <c r="I174" s="1" t="s">
        <v>142</v>
      </c>
      <c r="J174" s="1"/>
      <c r="K174" s="1"/>
      <c r="L174" s="1" t="s">
        <v>142</v>
      </c>
      <c r="M174" s="10">
        <f>Tableau3[[#This Row],[CODE]]</f>
        <v>1062</v>
      </c>
    </row>
    <row r="175" spans="1:13">
      <c r="A175" s="3">
        <v>3313</v>
      </c>
      <c r="B175" s="9" t="s">
        <v>567</v>
      </c>
      <c r="C175" s="3" t="s">
        <v>172</v>
      </c>
      <c r="D175" s="4" t="s">
        <v>568</v>
      </c>
      <c r="E175" s="3" t="s">
        <v>174</v>
      </c>
      <c r="F175" s="5" t="s">
        <v>151</v>
      </c>
      <c r="G175" s="6">
        <v>3.27</v>
      </c>
      <c r="H175" s="7" t="s">
        <v>15</v>
      </c>
      <c r="I175" s="1" t="s">
        <v>142</v>
      </c>
      <c r="J175" s="1" t="s">
        <v>142</v>
      </c>
      <c r="K175" s="1"/>
      <c r="L175" s="1" t="s">
        <v>142</v>
      </c>
      <c r="M175" s="10">
        <f>Tableau3[[#This Row],[CODE]]</f>
        <v>3313</v>
      </c>
    </row>
    <row r="176" spans="1:13">
      <c r="A176" s="3">
        <v>1043</v>
      </c>
      <c r="B176" s="9" t="s">
        <v>569</v>
      </c>
      <c r="C176" s="3" t="s">
        <v>144</v>
      </c>
      <c r="D176" s="4" t="s">
        <v>570</v>
      </c>
      <c r="E176" s="3" t="s">
        <v>146</v>
      </c>
      <c r="F176" s="5"/>
      <c r="G176" s="6">
        <v>4.92</v>
      </c>
      <c r="H176" s="7" t="s">
        <v>15</v>
      </c>
      <c r="I176" s="1" t="s">
        <v>196</v>
      </c>
      <c r="J176" s="1"/>
      <c r="K176" s="1"/>
      <c r="L176" s="1" t="s">
        <v>196</v>
      </c>
      <c r="M176" s="10">
        <f>Tableau3[[#This Row],[CODE]]</f>
        <v>1043</v>
      </c>
    </row>
    <row r="177" spans="1:13">
      <c r="A177" s="3">
        <v>6041</v>
      </c>
      <c r="B177" s="9" t="s">
        <v>571</v>
      </c>
      <c r="C177" s="3" t="s">
        <v>572</v>
      </c>
      <c r="D177" s="4" t="s">
        <v>573</v>
      </c>
      <c r="E177" s="3" t="s">
        <v>474</v>
      </c>
      <c r="F177" s="5" t="s">
        <v>151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574</v>
      </c>
      <c r="B178" s="9" t="s">
        <v>575</v>
      </c>
      <c r="C178" s="3" t="s">
        <v>484</v>
      </c>
      <c r="D178" s="4" t="s">
        <v>576</v>
      </c>
      <c r="E178" s="3" t="s">
        <v>484</v>
      </c>
      <c r="F178" s="5" t="s">
        <v>151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577</v>
      </c>
      <c r="C179" s="3" t="s">
        <v>172</v>
      </c>
      <c r="D179" s="4" t="s">
        <v>578</v>
      </c>
      <c r="E179" s="3" t="s">
        <v>174</v>
      </c>
      <c r="F179" s="5"/>
      <c r="G179" s="6">
        <v>2.3199999999999998</v>
      </c>
      <c r="H179" s="7" t="s">
        <v>15</v>
      </c>
      <c r="I179" s="1" t="s">
        <v>142</v>
      </c>
      <c r="J179" s="1" t="s">
        <v>142</v>
      </c>
      <c r="K179" s="1"/>
      <c r="L179" s="1" t="s">
        <v>142</v>
      </c>
      <c r="M179" s="10">
        <f>Tableau3[[#This Row],[CODE]]</f>
        <v>1147</v>
      </c>
    </row>
    <row r="180" spans="1:13">
      <c r="A180" s="3">
        <v>3478</v>
      </c>
      <c r="B180" s="9" t="s">
        <v>579</v>
      </c>
      <c r="C180" s="3" t="s">
        <v>172</v>
      </c>
      <c r="D180" s="4" t="s">
        <v>580</v>
      </c>
      <c r="E180" s="3" t="s">
        <v>174</v>
      </c>
      <c r="F180" s="5"/>
      <c r="G180" s="6">
        <v>3.41</v>
      </c>
      <c r="H180" s="7" t="s">
        <v>15</v>
      </c>
      <c r="I180" s="1" t="s">
        <v>196</v>
      </c>
      <c r="J180" s="1"/>
      <c r="K180" s="1"/>
      <c r="L180" s="1" t="s">
        <v>196</v>
      </c>
      <c r="M180" s="10">
        <f>Tableau3[[#This Row],[CODE]]</f>
        <v>3478</v>
      </c>
    </row>
    <row r="181" spans="1:13">
      <c r="A181" s="3" t="s">
        <v>581</v>
      </c>
      <c r="B181" s="9" t="s">
        <v>582</v>
      </c>
      <c r="C181" s="3" t="s">
        <v>172</v>
      </c>
      <c r="D181" s="4" t="s">
        <v>583</v>
      </c>
      <c r="E181" s="3" t="s">
        <v>174</v>
      </c>
      <c r="F181" s="5"/>
      <c r="G181" s="6">
        <v>2.3199999999999998</v>
      </c>
      <c r="H181" s="7" t="s">
        <v>15</v>
      </c>
      <c r="I181" s="1" t="s">
        <v>142</v>
      </c>
      <c r="J181" s="1" t="s">
        <v>142</v>
      </c>
      <c r="K181" s="1"/>
      <c r="L181" s="1" t="s">
        <v>142</v>
      </c>
      <c r="M181" s="10" t="str">
        <f>Tableau3[[#This Row],[CODE]]</f>
        <v>5124-3852</v>
      </c>
    </row>
    <row r="182" spans="1:13">
      <c r="A182" s="3">
        <v>3706</v>
      </c>
      <c r="B182" s="9" t="s">
        <v>584</v>
      </c>
      <c r="C182" s="3" t="s">
        <v>172</v>
      </c>
      <c r="D182" s="4" t="s">
        <v>585</v>
      </c>
      <c r="E182" s="3" t="s">
        <v>174</v>
      </c>
      <c r="F182" s="5"/>
      <c r="G182" s="6">
        <v>2.4500000000000002</v>
      </c>
      <c r="H182" s="7" t="s">
        <v>15</v>
      </c>
      <c r="I182" s="1" t="s">
        <v>142</v>
      </c>
      <c r="J182" s="1" t="s">
        <v>142</v>
      </c>
      <c r="K182" s="1"/>
      <c r="L182" s="1" t="s">
        <v>142</v>
      </c>
      <c r="M182" s="10">
        <f>Tableau3[[#This Row],[CODE]]</f>
        <v>3706</v>
      </c>
    </row>
    <row r="183" spans="1:13">
      <c r="A183" s="3">
        <v>3145</v>
      </c>
      <c r="B183" s="9" t="s">
        <v>586</v>
      </c>
      <c r="C183" s="3" t="s">
        <v>172</v>
      </c>
      <c r="D183" s="4" t="s">
        <v>587</v>
      </c>
      <c r="E183" s="3" t="s">
        <v>174</v>
      </c>
      <c r="F183" s="5"/>
      <c r="G183" s="6">
        <v>2.4500000000000002</v>
      </c>
      <c r="H183" s="7" t="s">
        <v>15</v>
      </c>
      <c r="I183" s="1" t="s">
        <v>142</v>
      </c>
      <c r="J183" s="1" t="s">
        <v>142</v>
      </c>
      <c r="K183" s="1"/>
      <c r="L183" s="1" t="s">
        <v>142</v>
      </c>
      <c r="M183" s="10">
        <f>Tableau3[[#This Row],[CODE]]</f>
        <v>3145</v>
      </c>
    </row>
    <row r="184" spans="1:13">
      <c r="A184" s="3">
        <v>5149</v>
      </c>
      <c r="B184" s="9" t="s">
        <v>588</v>
      </c>
      <c r="C184" s="3" t="s">
        <v>172</v>
      </c>
      <c r="D184" s="4" t="s">
        <v>589</v>
      </c>
      <c r="E184" s="3" t="s">
        <v>174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142</v>
      </c>
      <c r="M184" s="10">
        <f>Tableau3[[#This Row],[CODE]]</f>
        <v>5149</v>
      </c>
    </row>
    <row r="185" spans="1:13">
      <c r="A185" s="3">
        <v>3824</v>
      </c>
      <c r="B185" s="9" t="s">
        <v>590</v>
      </c>
      <c r="C185" s="3" t="s">
        <v>495</v>
      </c>
      <c r="D185" s="4" t="s">
        <v>591</v>
      </c>
      <c r="E185" s="3" t="s">
        <v>295</v>
      </c>
      <c r="F185" s="5" t="s">
        <v>151</v>
      </c>
      <c r="G185" s="6">
        <v>2.4500000000000002</v>
      </c>
      <c r="H185" s="7" t="s">
        <v>15</v>
      </c>
      <c r="I185" s="1" t="s">
        <v>142</v>
      </c>
      <c r="J185" s="1"/>
      <c r="K185" s="1"/>
      <c r="L185" s="1" t="s">
        <v>142</v>
      </c>
      <c r="M185" s="10">
        <f>Tableau3[[#This Row],[CODE]]</f>
        <v>3824</v>
      </c>
    </row>
    <row r="186" spans="1:13">
      <c r="A186" s="3">
        <v>1867</v>
      </c>
      <c r="B186" s="9" t="s">
        <v>592</v>
      </c>
      <c r="C186" s="3" t="s">
        <v>172</v>
      </c>
      <c r="D186" s="4" t="s">
        <v>593</v>
      </c>
      <c r="E186" s="3" t="s">
        <v>174</v>
      </c>
      <c r="F186" s="5" t="s">
        <v>151</v>
      </c>
      <c r="G186" s="6">
        <v>3.96</v>
      </c>
      <c r="H186" s="7" t="s">
        <v>15</v>
      </c>
      <c r="I186" s="1" t="s">
        <v>142</v>
      </c>
      <c r="J186" s="1" t="s">
        <v>142</v>
      </c>
      <c r="K186" s="1"/>
      <c r="L186" s="1" t="s">
        <v>142</v>
      </c>
      <c r="M186" s="10">
        <f>Tableau3[[#This Row],[CODE]]</f>
        <v>1867</v>
      </c>
    </row>
    <row r="187" spans="1:13">
      <c r="A187" s="3">
        <v>3155</v>
      </c>
      <c r="B187" s="9" t="s">
        <v>594</v>
      </c>
      <c r="C187" s="3" t="s">
        <v>169</v>
      </c>
      <c r="D187" s="4" t="s">
        <v>595</v>
      </c>
      <c r="E187" s="3" t="s">
        <v>144</v>
      </c>
      <c r="F187" s="5" t="s">
        <v>151</v>
      </c>
      <c r="G187" s="6">
        <v>4.92</v>
      </c>
      <c r="H187" s="7" t="s">
        <v>15</v>
      </c>
      <c r="I187" s="1" t="s">
        <v>142</v>
      </c>
      <c r="J187" s="1" t="s">
        <v>142</v>
      </c>
      <c r="K187" s="1"/>
      <c r="L187" s="1" t="s">
        <v>142</v>
      </c>
      <c r="M187" s="10">
        <f>Tableau3[[#This Row],[CODE]]</f>
        <v>3155</v>
      </c>
    </row>
    <row r="188" spans="1:13">
      <c r="A188" s="3">
        <v>1774</v>
      </c>
      <c r="B188" s="9" t="s">
        <v>596</v>
      </c>
      <c r="C188" s="3" t="s">
        <v>172</v>
      </c>
      <c r="D188" s="4" t="s">
        <v>597</v>
      </c>
      <c r="E188" s="3" t="s">
        <v>174</v>
      </c>
      <c r="F188" s="5"/>
      <c r="G188" s="6">
        <v>4.2300000000000004</v>
      </c>
      <c r="H188" s="7" t="s">
        <v>15</v>
      </c>
      <c r="I188" s="1" t="s">
        <v>142</v>
      </c>
      <c r="J188" s="1" t="s">
        <v>142</v>
      </c>
      <c r="K188" s="1"/>
      <c r="L188" s="1" t="s">
        <v>142</v>
      </c>
      <c r="M188" s="10">
        <f>Tableau3[[#This Row],[CODE]]</f>
        <v>1774</v>
      </c>
    </row>
    <row r="189" spans="1:13">
      <c r="A189" s="3">
        <v>6254</v>
      </c>
      <c r="B189" s="9" t="s">
        <v>598</v>
      </c>
      <c r="C189" s="3" t="s">
        <v>172</v>
      </c>
      <c r="D189" s="4" t="s">
        <v>599</v>
      </c>
      <c r="E189" s="3" t="s">
        <v>174</v>
      </c>
      <c r="F189" s="5"/>
      <c r="G189" s="6">
        <v>4.51</v>
      </c>
      <c r="H189" s="7" t="s">
        <v>15</v>
      </c>
      <c r="I189" s="1" t="s">
        <v>196</v>
      </c>
      <c r="J189" s="1" t="s">
        <v>196</v>
      </c>
      <c r="K189" s="1"/>
      <c r="L189" s="1" t="s">
        <v>196</v>
      </c>
      <c r="M189" s="10">
        <f>Tableau3[[#This Row],[CODE]]</f>
        <v>6254</v>
      </c>
    </row>
    <row r="190" spans="1:13" ht="22.5">
      <c r="A190" s="3">
        <v>1073</v>
      </c>
      <c r="B190" s="9" t="s">
        <v>600</v>
      </c>
      <c r="C190" s="3" t="s">
        <v>357</v>
      </c>
      <c r="D190" s="4" t="s">
        <v>601</v>
      </c>
      <c r="E190" s="3" t="s">
        <v>359</v>
      </c>
      <c r="F190" s="5" t="s">
        <v>151</v>
      </c>
      <c r="G190" s="6">
        <v>6.82</v>
      </c>
      <c r="H190" s="7" t="s">
        <v>14</v>
      </c>
      <c r="I190" s="1" t="s">
        <v>142</v>
      </c>
      <c r="J190" s="1" t="s">
        <v>142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602</v>
      </c>
      <c r="D191" s="4" t="s">
        <v>603</v>
      </c>
      <c r="E191" s="3" t="s">
        <v>146</v>
      </c>
      <c r="F191" s="5" t="s">
        <v>151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604</v>
      </c>
      <c r="C192" s="3" t="s">
        <v>605</v>
      </c>
      <c r="D192" s="4" t="s">
        <v>606</v>
      </c>
      <c r="E192" s="3" t="s">
        <v>607</v>
      </c>
      <c r="F192" s="5" t="s">
        <v>151</v>
      </c>
      <c r="G192" s="6">
        <v>2.4500000000000002</v>
      </c>
      <c r="H192" s="7" t="s">
        <v>15</v>
      </c>
      <c r="I192" s="1" t="s">
        <v>142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608</v>
      </c>
      <c r="C193" s="3" t="s">
        <v>609</v>
      </c>
      <c r="D193" s="4" t="s">
        <v>610</v>
      </c>
      <c r="E193" s="3" t="s">
        <v>611</v>
      </c>
      <c r="F193" s="5" t="s">
        <v>151</v>
      </c>
      <c r="G193" s="6">
        <v>6.7</v>
      </c>
      <c r="H193" s="7" t="s">
        <v>14</v>
      </c>
      <c r="I193" s="1" t="s">
        <v>142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612</v>
      </c>
      <c r="C194" s="3" t="s">
        <v>361</v>
      </c>
      <c r="D194" s="4" t="s">
        <v>613</v>
      </c>
      <c r="E194" s="3" t="s">
        <v>614</v>
      </c>
      <c r="F194" s="5" t="s">
        <v>341</v>
      </c>
      <c r="G194" s="6">
        <v>8.19</v>
      </c>
      <c r="H194" s="7" t="s">
        <v>14</v>
      </c>
      <c r="I194" s="1" t="s">
        <v>142</v>
      </c>
      <c r="J194" s="1" t="s">
        <v>142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615</v>
      </c>
      <c r="C195" s="3" t="s">
        <v>160</v>
      </c>
      <c r="D195" s="4" t="s">
        <v>616</v>
      </c>
      <c r="E195" s="3" t="s">
        <v>160</v>
      </c>
      <c r="F195" s="5" t="s">
        <v>151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615</v>
      </c>
      <c r="C196" s="3" t="s">
        <v>160</v>
      </c>
      <c r="D196" s="4" t="s">
        <v>617</v>
      </c>
      <c r="E196" s="3" t="s">
        <v>160</v>
      </c>
      <c r="F196" s="5" t="s">
        <v>151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618</v>
      </c>
      <c r="C197" s="3" t="s">
        <v>148</v>
      </c>
      <c r="D197" s="4" t="s">
        <v>619</v>
      </c>
      <c r="E197" s="3" t="s">
        <v>148</v>
      </c>
      <c r="F197" s="5" t="s">
        <v>151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620</v>
      </c>
      <c r="C198" s="3" t="s">
        <v>148</v>
      </c>
      <c r="D198" s="4" t="s">
        <v>621</v>
      </c>
      <c r="E198" s="3" t="s">
        <v>148</v>
      </c>
      <c r="F198" s="5" t="s">
        <v>151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622</v>
      </c>
      <c r="C199" s="3" t="s">
        <v>623</v>
      </c>
      <c r="D199" s="4" t="s">
        <v>624</v>
      </c>
      <c r="E199" s="3" t="s">
        <v>625</v>
      </c>
      <c r="F199" s="5" t="s">
        <v>151</v>
      </c>
      <c r="G199" s="6">
        <v>11.91</v>
      </c>
      <c r="H199" s="7" t="s">
        <v>15</v>
      </c>
      <c r="I199" s="1" t="s">
        <v>142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626</v>
      </c>
      <c r="C200" s="3" t="s">
        <v>293</v>
      </c>
      <c r="D200" s="4" t="s">
        <v>627</v>
      </c>
      <c r="E200" s="3" t="s">
        <v>495</v>
      </c>
      <c r="F200" s="5" t="s">
        <v>151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626</v>
      </c>
      <c r="C201" s="3" t="s">
        <v>293</v>
      </c>
      <c r="D201" s="4" t="s">
        <v>628</v>
      </c>
      <c r="E201" s="3" t="s">
        <v>495</v>
      </c>
      <c r="F201" s="5" t="s">
        <v>151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1" priority="2">
      <formula>COUNTIF($C69,"*BIO*")&gt;0</formula>
    </cfRule>
  </conditionalFormatting>
  <conditionalFormatting sqref="H2:H68 H70:H199">
    <cfRule type="expression" dxfId="0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68" t="s">
        <v>119</v>
      </c>
      <c r="E1" s="168"/>
      <c r="F1" s="168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179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197</v>
      </c>
      <c r="E4">
        <v>10.89</v>
      </c>
      <c r="F4">
        <v>0</v>
      </c>
    </row>
    <row r="5" spans="2:6">
      <c r="B5">
        <v>1937</v>
      </c>
      <c r="C5" t="s">
        <v>227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239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262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274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304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308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315</v>
      </c>
      <c r="D11">
        <v>1</v>
      </c>
      <c r="E11">
        <v>11.45</v>
      </c>
      <c r="F11">
        <v>11.45</v>
      </c>
    </row>
    <row r="12" spans="2:6">
      <c r="B12" t="s">
        <v>348</v>
      </c>
      <c r="C12" t="s">
        <v>349</v>
      </c>
      <c r="E12">
        <v>9.64</v>
      </c>
      <c r="F12">
        <v>0</v>
      </c>
    </row>
    <row r="13" spans="2:6">
      <c r="B13">
        <v>3265</v>
      </c>
      <c r="C13" t="s">
        <v>383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385</v>
      </c>
      <c r="E14">
        <v>5.68</v>
      </c>
      <c r="F14">
        <v>0</v>
      </c>
    </row>
    <row r="15" spans="2:6">
      <c r="B15">
        <v>1755</v>
      </c>
      <c r="C15" t="s">
        <v>398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432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434</v>
      </c>
      <c r="E17">
        <v>8.27</v>
      </c>
      <c r="F17">
        <v>0</v>
      </c>
    </row>
    <row r="18" spans="2:6">
      <c r="B18">
        <v>3215</v>
      </c>
      <c r="C18" t="s">
        <v>463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471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604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612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630</v>
      </c>
      <c r="C5" s="12" t="s">
        <v>631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29" sqref="H29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3" t="s">
        <v>44</v>
      </c>
      <c r="C2" s="174"/>
      <c r="D2" s="174"/>
      <c r="E2" s="174"/>
      <c r="F2" s="174"/>
      <c r="G2" s="174"/>
      <c r="H2" s="174"/>
      <c r="I2" s="175"/>
      <c r="J2" s="141"/>
      <c r="K2" s="141"/>
      <c r="L2" s="169" t="s">
        <v>122</v>
      </c>
      <c r="M2" s="170"/>
      <c r="N2" s="141"/>
      <c r="O2" s="141"/>
      <c r="P2" s="141"/>
      <c r="Q2" s="141"/>
      <c r="R2" s="141"/>
      <c r="S2" s="141"/>
    </row>
    <row r="3" spans="1:19" ht="15.75">
      <c r="A3" s="141"/>
      <c r="B3" s="176" t="s">
        <v>45</v>
      </c>
      <c r="C3" s="177"/>
      <c r="D3" s="177"/>
      <c r="E3" s="177"/>
      <c r="F3" s="177"/>
      <c r="G3" s="177"/>
      <c r="H3" s="177"/>
      <c r="I3" s="178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83" t="s">
        <v>121</v>
      </c>
      <c r="C4" s="184"/>
      <c r="D4" s="184"/>
      <c r="E4" s="184"/>
      <c r="F4" s="184"/>
      <c r="G4" s="184"/>
      <c r="H4" s="184"/>
      <c r="I4" s="185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79" t="s">
        <v>47</v>
      </c>
      <c r="C5" s="180"/>
      <c r="D5" s="180"/>
      <c r="E5" s="180"/>
      <c r="F5" s="181" t="s">
        <v>48</v>
      </c>
      <c r="G5" s="181"/>
      <c r="H5" s="181"/>
      <c r="I5" s="182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1" t="s">
        <v>51</v>
      </c>
      <c r="G6" s="171"/>
      <c r="H6" s="171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90" t="s">
        <v>55</v>
      </c>
      <c r="G7" s="190"/>
      <c r="H7" s="190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90" t="s">
        <v>59</v>
      </c>
      <c r="G8" s="190"/>
      <c r="H8" s="190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90" t="s">
        <v>63</v>
      </c>
      <c r="G9" s="190"/>
      <c r="H9" s="190"/>
      <c r="I9" s="191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90"/>
      <c r="G10" s="190"/>
      <c r="H10" s="190"/>
      <c r="I10" s="191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90" t="s">
        <v>65</v>
      </c>
      <c r="G11" s="190"/>
      <c r="H11" s="190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1" t="s">
        <v>67</v>
      </c>
      <c r="G12" s="171"/>
      <c r="H12" s="171"/>
      <c r="I12" s="172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1"/>
      <c r="G13" s="171"/>
      <c r="H13" s="171"/>
      <c r="I13" s="172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1" t="s">
        <v>65</v>
      </c>
      <c r="G14" s="171"/>
      <c r="H14" s="171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86" t="s">
        <v>72</v>
      </c>
      <c r="C15" s="187"/>
      <c r="D15" s="187"/>
      <c r="E15" s="187"/>
      <c r="F15" s="188" t="s">
        <v>135</v>
      </c>
      <c r="G15" s="188"/>
      <c r="H15" s="188"/>
      <c r="I15" s="189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9" r:id="rId4" name="CommandButton3">
          <controlPr defaultSize="0" autoLine="0" r:id="rId5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4" name="CommandButton3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2">
          <controlPr defaultSize="0" autoLine="0" r:id="rId9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8" name="CommandButton2"/>
      </mc:Fallback>
    </mc:AlternateContent>
    <mc:AlternateContent xmlns:mc="http://schemas.openxmlformats.org/markup-compatibility/2006">
      <mc:Choice Requires="x14">
        <control shapeId="20491" r:id="rId10" name="CommandButton4">
          <controlPr defaultSize="0" autoLine="0" r:id="rId11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10" name="CommandButton4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4D62D-A939-446B-AF38-BD6C1EE1BD70}">
  <sheetPr codeName="Feuil5">
    <tabColor theme="5"/>
  </sheetPr>
  <dimension ref="C1:D1"/>
  <sheetViews>
    <sheetView tabSelected="1" workbookViewId="0">
      <selection activeCell="J27" sqref="J27"/>
    </sheetView>
  </sheetViews>
  <sheetFormatPr baseColWidth="10" defaultRowHeight="15"/>
  <sheetData>
    <row r="1" spans="3:4">
      <c r="C1" t="s">
        <v>632</v>
      </c>
      <c r="D1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9</xdr:col>
                <xdr:colOff>381000</xdr:colOff>
                <xdr:row>9</xdr:row>
                <xdr:rowOff>95250</xdr:rowOff>
              </from>
              <to>
                <xdr:col>12</xdr:col>
                <xdr:colOff>552450</xdr:colOff>
                <xdr:row>12</xdr:row>
                <xdr:rowOff>142875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9</xdr:col>
                <xdr:colOff>228600</xdr:colOff>
                <xdr:row>4</xdr:row>
                <xdr:rowOff>57150</xdr:rowOff>
              </from>
              <to>
                <xdr:col>12</xdr:col>
                <xdr:colOff>504825</xdr:colOff>
                <xdr:row>7</xdr:row>
                <xdr:rowOff>180975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2:J5"/>
  <sheetViews>
    <sheetView workbookViewId="0">
      <selection activeCell="B8" sqref="B8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</cols>
  <sheetData>
    <row r="2" spans="2:10" ht="42.75" customHeight="1"/>
    <row r="3" spans="2:10">
      <c r="B3" t="s">
        <v>74</v>
      </c>
      <c r="C3" t="s">
        <v>32</v>
      </c>
      <c r="D3" t="s">
        <v>40</v>
      </c>
      <c r="E3" t="s">
        <v>41</v>
      </c>
      <c r="F3" t="s">
        <v>42</v>
      </c>
      <c r="G3" t="s">
        <v>37</v>
      </c>
      <c r="H3" t="s">
        <v>38</v>
      </c>
      <c r="I3" t="s">
        <v>43</v>
      </c>
      <c r="J3" t="s">
        <v>78</v>
      </c>
    </row>
    <row r="4" spans="2:10" ht="13.5" customHeight="1">
      <c r="B4">
        <v>1</v>
      </c>
      <c r="C4" s="120">
        <v>1</v>
      </c>
      <c r="D4">
        <v>1</v>
      </c>
      <c r="E4">
        <v>1</v>
      </c>
      <c r="F4" s="120">
        <v>1</v>
      </c>
      <c r="G4">
        <v>1</v>
      </c>
      <c r="H4">
        <v>1</v>
      </c>
      <c r="I4">
        <v>1</v>
      </c>
      <c r="J4" s="119" t="s">
        <v>110</v>
      </c>
    </row>
    <row r="5" spans="2:10">
      <c r="B5">
        <v>3</v>
      </c>
      <c r="C5" s="120">
        <v>3</v>
      </c>
      <c r="D5">
        <v>3</v>
      </c>
      <c r="E5">
        <v>3</v>
      </c>
      <c r="F5" s="120">
        <v>3</v>
      </c>
      <c r="G5">
        <v>3</v>
      </c>
      <c r="H5">
        <v>3</v>
      </c>
      <c r="I5">
        <v>3</v>
      </c>
      <c r="J5" s="119" t="s">
        <v>111</v>
      </c>
    </row>
  </sheetData>
  <dataValidations count="1">
    <dataValidation type="list" allowBlank="1" showInputMessage="1" showErrorMessage="1" sqref="J4:J5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">
          <controlPr defaultSize="0" autoLine="0" r:id="rId5">
            <anchor>
              <from>
                <xdr:col>14</xdr:col>
                <xdr:colOff>161925</xdr:colOff>
                <xdr:row>9</xdr:row>
                <xdr:rowOff>133350</xdr:rowOff>
              </from>
              <to>
                <xdr:col>17</xdr:col>
                <xdr:colOff>47625</xdr:colOff>
                <xdr:row>13</xdr:row>
                <xdr:rowOff>123825</xdr:rowOff>
              </to>
            </anchor>
          </controlPr>
        </control>
      </mc:Choice>
      <mc:Fallback>
        <control shapeId="13315" r:id="rId4" name="CommandButton2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171450</xdr:colOff>
                <xdr:row>4</xdr:row>
                <xdr:rowOff>152400</xdr:rowOff>
              </from>
              <to>
                <xdr:col>17</xdr:col>
                <xdr:colOff>57150</xdr:colOff>
                <xdr:row>8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  <mc:AlternateContent xmlns:mc="http://schemas.openxmlformats.org/markup-compatibility/2006">
      <mc:Choice Requires="x14">
        <control shapeId="13317" r:id="rId8" name="CommandButton3">
          <controlPr defaultSize="0" autoLine="0" r:id="rId9">
            <anchor moveWithCells="1">
              <from>
                <xdr:col>14</xdr:col>
                <xdr:colOff>257175</xdr:colOff>
                <xdr:row>16</xdr:row>
                <xdr:rowOff>19050</xdr:rowOff>
              </from>
              <to>
                <xdr:col>17</xdr:col>
                <xdr:colOff>57150</xdr:colOff>
                <xdr:row>19</xdr:row>
                <xdr:rowOff>123825</xdr:rowOff>
              </to>
            </anchor>
          </controlPr>
        </control>
      </mc:Choice>
      <mc:Fallback>
        <control shapeId="13317" r:id="rId8" name="CommandButton3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D18" sqref="D18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2" t="s">
        <v>127</v>
      </c>
      <c r="C2" s="192"/>
      <c r="D2" s="192"/>
      <c r="E2" s="192"/>
      <c r="F2" s="192"/>
      <c r="G2" s="192"/>
      <c r="H2" s="192"/>
      <c r="I2" s="192"/>
      <c r="J2" s="192"/>
      <c r="K2" s="192"/>
      <c r="L2" s="192" t="s">
        <v>48</v>
      </c>
      <c r="M2" s="192"/>
      <c r="N2" s="192"/>
      <c r="O2" s="164" t="s">
        <v>128</v>
      </c>
      <c r="P2" s="164" t="s">
        <v>129</v>
      </c>
    </row>
    <row r="3" spans="2:16">
      <c r="B3" s="118" t="s">
        <v>133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130</v>
      </c>
      <c r="N3" s="118" t="s">
        <v>131</v>
      </c>
      <c r="O3" s="118" t="s">
        <v>65</v>
      </c>
      <c r="P3" s="118" t="s">
        <v>132</v>
      </c>
    </row>
    <row r="4" spans="2:16">
      <c r="B4" s="118" t="s">
        <v>633</v>
      </c>
      <c r="C4" s="118" t="s">
        <v>633</v>
      </c>
      <c r="D4" s="118" t="s">
        <v>633</v>
      </c>
      <c r="E4" s="118" t="s">
        <v>633</v>
      </c>
      <c r="F4" s="118" t="s">
        <v>633</v>
      </c>
      <c r="G4" s="118" t="s">
        <v>633</v>
      </c>
      <c r="H4" s="118" t="s">
        <v>633</v>
      </c>
      <c r="I4" s="118" t="s">
        <v>633</v>
      </c>
      <c r="J4" s="118" t="s">
        <v>633</v>
      </c>
      <c r="K4" s="118" t="s">
        <v>633</v>
      </c>
      <c r="L4" s="165">
        <v>2</v>
      </c>
      <c r="M4" s="118" t="s">
        <v>633</v>
      </c>
      <c r="N4" s="118" t="s">
        <v>633</v>
      </c>
      <c r="O4" s="118" t="s">
        <v>633</v>
      </c>
      <c r="P4" s="118" t="s">
        <v>633</v>
      </c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3" t="s">
        <v>44</v>
      </c>
      <c r="D1" s="174"/>
      <c r="E1" s="174"/>
      <c r="F1" s="174"/>
      <c r="G1" s="174"/>
      <c r="H1" s="174"/>
      <c r="I1" s="174"/>
      <c r="J1" s="174"/>
      <c r="K1" s="175"/>
    </row>
    <row r="2" spans="3:16" ht="15.75" customHeight="1">
      <c r="C2" s="176"/>
      <c r="D2" s="177"/>
      <c r="E2" s="177"/>
      <c r="F2" s="177"/>
      <c r="G2" s="177"/>
      <c r="H2" s="177"/>
      <c r="I2" s="177"/>
      <c r="J2" s="177"/>
      <c r="K2" s="149"/>
      <c r="N2" s="193" t="s">
        <v>134</v>
      </c>
      <c r="O2" s="193"/>
      <c r="P2" s="193"/>
    </row>
    <row r="3" spans="3:16" ht="20.25">
      <c r="C3" s="183" t="s">
        <v>121</v>
      </c>
      <c r="D3" s="184"/>
      <c r="E3" s="184"/>
      <c r="F3" s="184"/>
      <c r="G3" s="184"/>
      <c r="H3" s="184"/>
      <c r="I3" s="184"/>
      <c r="J3" s="184"/>
      <c r="K3" s="185"/>
      <c r="N3" s="193" t="s">
        <v>629</v>
      </c>
      <c r="O3" s="193"/>
      <c r="P3" s="193"/>
    </row>
    <row r="4" spans="3:16" ht="15" customHeight="1">
      <c r="C4" s="179" t="s">
        <v>47</v>
      </c>
      <c r="D4" s="180"/>
      <c r="E4" s="181" t="s">
        <v>48</v>
      </c>
      <c r="F4" s="181"/>
      <c r="G4" s="181"/>
      <c r="H4" s="181"/>
      <c r="I4" s="181"/>
      <c r="J4" s="181"/>
      <c r="K4" s="182"/>
    </row>
    <row r="5" spans="3:16" ht="15" customHeight="1">
      <c r="C5" s="150" t="s">
        <v>49</v>
      </c>
      <c r="D5" s="122" t="s">
        <v>120</v>
      </c>
      <c r="E5" s="171" t="s">
        <v>51</v>
      </c>
      <c r="F5" s="171"/>
      <c r="G5" s="171"/>
      <c r="H5" s="171"/>
      <c r="I5" s="195" t="s">
        <v>120</v>
      </c>
      <c r="J5" s="196"/>
      <c r="K5" s="197"/>
    </row>
    <row r="6" spans="3:16">
      <c r="C6" s="150" t="s">
        <v>53</v>
      </c>
      <c r="D6" s="122" t="s">
        <v>120</v>
      </c>
      <c r="E6" s="194" t="s">
        <v>55</v>
      </c>
      <c r="F6" s="194"/>
      <c r="G6" s="194"/>
      <c r="H6" s="194"/>
      <c r="I6" s="195" t="s">
        <v>120</v>
      </c>
      <c r="J6" s="196"/>
      <c r="K6" s="197"/>
    </row>
    <row r="7" spans="3:16" ht="15" customHeight="1">
      <c r="C7" s="150" t="s">
        <v>57</v>
      </c>
      <c r="D7" s="122" t="s">
        <v>120</v>
      </c>
      <c r="E7" s="194" t="s">
        <v>136</v>
      </c>
      <c r="F7" s="194"/>
      <c r="G7" s="194"/>
      <c r="H7" s="194"/>
      <c r="I7" s="195" t="s">
        <v>120</v>
      </c>
      <c r="J7" s="196"/>
      <c r="K7" s="197"/>
    </row>
    <row r="8" spans="3:16" ht="15" customHeight="1">
      <c r="C8" s="150" t="s">
        <v>61</v>
      </c>
      <c r="D8" s="122" t="s">
        <v>120</v>
      </c>
      <c r="E8" s="194" t="s">
        <v>63</v>
      </c>
      <c r="F8" s="194"/>
      <c r="G8" s="194"/>
      <c r="H8" s="194"/>
      <c r="I8" s="194"/>
      <c r="J8" s="194"/>
      <c r="K8" s="198"/>
    </row>
    <row r="9" spans="3:16">
      <c r="C9" s="150" t="s">
        <v>64</v>
      </c>
      <c r="D9" s="122" t="s">
        <v>120</v>
      </c>
      <c r="E9" s="194"/>
      <c r="F9" s="194"/>
      <c r="G9" s="194"/>
      <c r="H9" s="194"/>
      <c r="I9" s="194"/>
      <c r="J9" s="194"/>
      <c r="K9" s="198"/>
    </row>
    <row r="10" spans="3:16" ht="15" customHeight="1">
      <c r="C10" s="150" t="s">
        <v>59</v>
      </c>
      <c r="D10" s="122" t="s">
        <v>120</v>
      </c>
      <c r="E10" s="194" t="s">
        <v>65</v>
      </c>
      <c r="F10" s="194"/>
      <c r="G10" s="194"/>
      <c r="H10" s="194"/>
      <c r="I10" s="195" t="s">
        <v>120</v>
      </c>
      <c r="J10" s="196"/>
      <c r="K10" s="197"/>
    </row>
    <row r="11" spans="3:16" ht="15" customHeight="1">
      <c r="C11" s="150" t="s">
        <v>55</v>
      </c>
      <c r="D11" s="122" t="s">
        <v>120</v>
      </c>
      <c r="E11" s="171" t="s">
        <v>137</v>
      </c>
      <c r="F11" s="171"/>
      <c r="G11" s="171"/>
      <c r="H11" s="171"/>
      <c r="I11" s="171"/>
      <c r="J11" s="171"/>
      <c r="K11" s="172"/>
    </row>
    <row r="12" spans="3:16">
      <c r="C12" s="150" t="s">
        <v>68</v>
      </c>
      <c r="D12" s="122" t="s">
        <v>120</v>
      </c>
      <c r="E12" s="171"/>
      <c r="F12" s="171"/>
      <c r="G12" s="171"/>
      <c r="H12" s="171"/>
      <c r="I12" s="171"/>
      <c r="J12" s="171"/>
      <c r="K12" s="172"/>
    </row>
    <row r="13" spans="3:16" ht="15" customHeight="1">
      <c r="C13" s="150" t="s">
        <v>70</v>
      </c>
      <c r="D13" s="122" t="s">
        <v>120</v>
      </c>
      <c r="E13" s="171" t="s">
        <v>65</v>
      </c>
      <c r="F13" s="171"/>
      <c r="G13" s="171"/>
      <c r="H13" s="171"/>
      <c r="I13" s="195" t="s">
        <v>120</v>
      </c>
      <c r="J13" s="196"/>
      <c r="K13" s="197"/>
    </row>
    <row r="14" spans="3:16" ht="15" customHeight="1">
      <c r="C14" s="186"/>
      <c r="D14" s="187"/>
      <c r="E14" s="188" t="s">
        <v>120</v>
      </c>
      <c r="F14" s="188"/>
      <c r="G14" s="188"/>
      <c r="H14" s="188"/>
      <c r="I14" s="188"/>
      <c r="J14" s="188"/>
      <c r="K14" s="189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67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C1:K1"/>
    <mergeCell ref="C2:J2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6" r:id="rId4" name="CommandButton4">
          <controlPr defaultSize="0" autoLine="0" r:id="rId5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4" name="CommandButton4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5" r:id="rId8" name="CommandButton3">
          <controlPr defaultSize="0" autoLine="0" r:id="rId9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8" name="CommandButton3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3" t="s">
        <v>44</v>
      </c>
      <c r="B1" s="174"/>
      <c r="C1" s="174"/>
      <c r="D1" s="174"/>
      <c r="E1" s="174"/>
      <c r="F1" s="174"/>
      <c r="G1" s="174"/>
      <c r="H1" s="174"/>
      <c r="I1" s="174"/>
      <c r="J1" s="175"/>
    </row>
    <row r="2" spans="1:10" ht="15.75">
      <c r="A2" s="176" t="s">
        <v>45</v>
      </c>
      <c r="B2" s="202"/>
      <c r="C2" s="202"/>
      <c r="D2" s="202"/>
      <c r="E2" s="202"/>
      <c r="F2" s="202"/>
      <c r="G2" s="202"/>
      <c r="H2" s="202"/>
      <c r="I2" s="202"/>
      <c r="J2" s="16"/>
    </row>
    <row r="3" spans="1:10" ht="20.25">
      <c r="A3" s="17"/>
      <c r="B3" s="18"/>
      <c r="C3" s="18"/>
      <c r="D3" s="18"/>
      <c r="E3" s="203" t="s">
        <v>46</v>
      </c>
      <c r="F3" s="203"/>
      <c r="G3" s="203"/>
      <c r="H3" s="203"/>
      <c r="I3" s="203"/>
      <c r="J3" s="204"/>
    </row>
    <row r="4" spans="1:10">
      <c r="A4" s="179" t="s">
        <v>47</v>
      </c>
      <c r="B4" s="205"/>
      <c r="C4" s="205"/>
      <c r="D4" s="205"/>
      <c r="E4" s="206" t="s">
        <v>48</v>
      </c>
      <c r="F4" s="206"/>
      <c r="G4" s="206"/>
      <c r="H4" s="206"/>
      <c r="I4" s="206"/>
      <c r="J4" s="182"/>
    </row>
    <row r="5" spans="1:10">
      <c r="A5" s="19" t="s">
        <v>49</v>
      </c>
      <c r="B5" s="20"/>
      <c r="C5" s="21"/>
      <c r="D5" s="22" t="s">
        <v>50</v>
      </c>
      <c r="E5" s="199" t="s">
        <v>51</v>
      </c>
      <c r="F5" s="199"/>
      <c r="G5" s="199"/>
      <c r="H5" s="200" t="s">
        <v>52</v>
      </c>
      <c r="I5" s="200"/>
      <c r="J5" s="201"/>
    </row>
    <row r="6" spans="1:10">
      <c r="A6" s="19" t="s">
        <v>53</v>
      </c>
      <c r="B6" s="20"/>
      <c r="C6" s="21"/>
      <c r="D6" s="22" t="s">
        <v>54</v>
      </c>
      <c r="E6" s="209" t="s">
        <v>55</v>
      </c>
      <c r="F6" s="209"/>
      <c r="G6" s="209"/>
      <c r="H6" s="200" t="s">
        <v>56</v>
      </c>
      <c r="I6" s="200"/>
      <c r="J6" s="201"/>
    </row>
    <row r="7" spans="1:10">
      <c r="A7" s="19" t="s">
        <v>57</v>
      </c>
      <c r="B7" s="20"/>
      <c r="C7" s="21"/>
      <c r="D7" s="22" t="s">
        <v>58</v>
      </c>
      <c r="E7" s="209" t="s">
        <v>59</v>
      </c>
      <c r="F7" s="209"/>
      <c r="G7" s="209"/>
      <c r="H7" s="200" t="s">
        <v>60</v>
      </c>
      <c r="I7" s="200"/>
      <c r="J7" s="201"/>
    </row>
    <row r="8" spans="1:10">
      <c r="A8" s="19" t="s">
        <v>61</v>
      </c>
      <c r="B8" s="20"/>
      <c r="C8" s="21"/>
      <c r="D8" s="22" t="s">
        <v>62</v>
      </c>
      <c r="E8" s="209" t="s">
        <v>63</v>
      </c>
      <c r="F8" s="209"/>
      <c r="G8" s="209"/>
      <c r="H8" s="209"/>
      <c r="I8" s="209"/>
      <c r="J8" s="198"/>
    </row>
    <row r="9" spans="1:10">
      <c r="A9" s="19" t="s">
        <v>64</v>
      </c>
      <c r="B9" s="20"/>
      <c r="C9" s="21"/>
      <c r="D9" s="22"/>
      <c r="E9" s="209"/>
      <c r="F9" s="209"/>
      <c r="G9" s="209"/>
      <c r="H9" s="209"/>
      <c r="I9" s="209"/>
      <c r="J9" s="198"/>
    </row>
    <row r="10" spans="1:10">
      <c r="A10" s="19" t="s">
        <v>59</v>
      </c>
      <c r="B10" s="20"/>
      <c r="C10" s="21"/>
      <c r="D10" s="22" t="s">
        <v>60</v>
      </c>
      <c r="E10" s="209" t="s">
        <v>65</v>
      </c>
      <c r="F10" s="209"/>
      <c r="G10" s="209"/>
      <c r="H10" s="200" t="s">
        <v>66</v>
      </c>
      <c r="I10" s="200"/>
      <c r="J10" s="201"/>
    </row>
    <row r="11" spans="1:10">
      <c r="A11" s="19" t="s">
        <v>55</v>
      </c>
      <c r="B11" s="20"/>
      <c r="C11" s="21"/>
      <c r="D11" s="22" t="s">
        <v>56</v>
      </c>
      <c r="E11" s="199" t="s">
        <v>67</v>
      </c>
      <c r="F11" s="199"/>
      <c r="G11" s="199"/>
      <c r="H11" s="199"/>
      <c r="I11" s="199"/>
      <c r="J11" s="172"/>
    </row>
    <row r="12" spans="1:10">
      <c r="A12" s="19" t="s">
        <v>68</v>
      </c>
      <c r="B12" s="20"/>
      <c r="C12" s="21"/>
      <c r="D12" s="22" t="s">
        <v>69</v>
      </c>
      <c r="E12" s="199"/>
      <c r="F12" s="199"/>
      <c r="G12" s="199"/>
      <c r="H12" s="199"/>
      <c r="I12" s="199"/>
      <c r="J12" s="172"/>
    </row>
    <row r="13" spans="1:10">
      <c r="A13" s="19" t="s">
        <v>70</v>
      </c>
      <c r="B13" s="20"/>
      <c r="C13" s="21"/>
      <c r="D13" s="22"/>
      <c r="E13" s="199" t="s">
        <v>65</v>
      </c>
      <c r="F13" s="199"/>
      <c r="G13" s="199"/>
      <c r="H13" s="200" t="s">
        <v>71</v>
      </c>
      <c r="I13" s="200"/>
      <c r="J13" s="201"/>
    </row>
    <row r="14" spans="1:10">
      <c r="A14" s="186" t="s">
        <v>72</v>
      </c>
      <c r="B14" s="210"/>
      <c r="C14" s="210"/>
      <c r="D14" s="210"/>
      <c r="E14" s="211" t="s">
        <v>73</v>
      </c>
      <c r="F14" s="211"/>
      <c r="G14" s="211"/>
      <c r="H14" s="211"/>
      <c r="I14" s="211"/>
      <c r="J14" s="189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07" t="s">
        <v>85</v>
      </c>
      <c r="B17" s="208"/>
      <c r="C17" s="208"/>
      <c r="D17" s="208"/>
      <c r="E17" s="208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FACTURE</vt:lpstr>
      <vt:lpstr>Config</vt:lpstr>
      <vt:lpstr>SAV</vt:lpstr>
      <vt:lpstr>Feuil1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2020-10-27T14:10:51Z</dcterms:modified>
</cp:coreProperties>
</file>